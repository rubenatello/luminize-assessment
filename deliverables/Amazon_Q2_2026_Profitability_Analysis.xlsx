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587965103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bfca47753f94184"/>
    <x:sheet xmlns:r="http://schemas.openxmlformats.org/officeDocument/2006/relationships" name="Brand Profitability" sheetId="2" r:id="Racc5228479af42b1"/>
    <x:sheet xmlns:r="http://schemas.openxmlformats.org/officeDocument/2006/relationships" name="SKU Profitability" sheetId="3" r:id="R7270b48d13094794"/>
    <x:sheet xmlns:r="http://schemas.openxmlformats.org/officeDocument/2006/relationships" name="Inventory Health" sheetId="4" r:id="R388ae878c70840ec"/>
    <x:sheet xmlns:r="http://schemas.openxmlformats.org/officeDocument/2006/relationships" name="DQ &amp; Assumptions" sheetId="5" r:id="Rdc2184c8c7bb4825"/>
    <x:sheet xmlns:r="http://schemas.openxmlformats.org/officeDocument/2006/relationships" name="PO Unit Costs" sheetId="6" r:id="Rfcfd3e285ada42b4"/>
    <x:sheet xmlns:r="http://schemas.openxmlformats.org/officeDocument/2006/relationships" name="Checks" sheetId="7" r:id="Rd8be4902e348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;[Red]($#,##0);-"/>
    <x:numFmt numFmtId="201" formatCode="$0.00"/>
    <x:numFmt numFmtId="202" formatCode="#,##0;[Red](#,##0);-"/>
    <x:numFmt numFmtId="203" formatCode="0.0%;[Red](0.0%);-"/>
    <x:numFmt numFmtId="204" formatCode="#,##0.0"/>
    <x:numFmt numFmtId="205" formatCode="yyyy-mm-dd"/>
    <x:numFmt numFmtId="206" formatCode="#,##0.00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5607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2"/>
      <x:color rgb="FF0B2545"/>
      <x:name val="Carlito"/>
    </x:font>
    <x:font>
      <x:sz val="11"/>
      <x:color rgb="FF111827"/>
      <x:name val="Carlito"/>
    </x:font>
    <x:font>
      <x:b/>
      <x:sz val="12"/>
      <x:color rgb="FFFFFFFF"/>
      <x:name val="Carlito"/>
    </x:font>
    <x:font>
      <x:b/>
      <x:sz val="10"/>
      <x:color rgb="FF556070"/>
      <x:name val="Carlito"/>
    </x:font>
    <x:font>
      <x:b/>
      <x:sz val="20"/>
      <x:color rgb="FF0B2545"/>
      <x:name val="Carlito"/>
    </x:font>
    <x:font>
      <x:b/>
      <x:sz val="11"/>
      <x:color rgb="FF9A67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AF5FB"/>
      </x:patternFill>
    </x:fill>
    <x:fill>
      <x:patternFill patternType="solid">
        <x:fgColor rgb="FFFAFBFC"/>
      </x:patternFill>
    </x:fill>
    <x:fill>
      <x:patternFill patternType="solid">
        <x:fgColor rgb="FFF2F4F7"/>
      </x:patternFill>
    </x:fill>
    <x:fill>
      <x:patternFill patternType="solid">
        <x:fgColor rgb="FFFFF4CC"/>
      </x:patternFill>
    </x:fill>
  </x:fills>
  <x:borders count="19">
    <x:border/>
    <x:border>
      <x:left style="thin">
        <x:color rgb="FFD5DBE4"/>
      </x:left>
      <x:top style="thin">
        <x:color rgb="FFD5DBE4"/>
      </x:top>
      <x:bottom style="thin">
        <x:color rgb="FFD5DBE4"/>
      </x:bottom>
    </x:border>
    <x:border>
      <x:top style="thin">
        <x:color rgb="FFD5DBE4"/>
      </x:top>
      <x:bottom style="thin">
        <x:color rgb="FFD5DBE4"/>
      </x:bottom>
    </x:border>
    <x:border>
      <x:right style="thin">
        <x:color rgb="FFD5DBE4"/>
      </x:right>
      <x:top style="thin">
        <x:color rgb="FFD5DBE4"/>
      </x:top>
      <x:bottom style="thin">
        <x:color rgb="FFD5DBE4"/>
      </x:bottom>
    </x:border>
    <x:border>
      <x:top style="double">
        <x:color rgb="FF0B2545"/>
      </x:top>
    </x:border>
    <x:border>
      <x:left style="thin">
        <x:color rgb="FFD5DBE4"/>
      </x:left>
      <x:top style="thin">
        <x:color rgb="FFD5DBE4"/>
      </x:top>
    </x:border>
    <x:border>
      <x:right style="thin">
        <x:color rgb="FFD5DBE4"/>
      </x:right>
      <x:top style="thin">
        <x:color rgb="FFD5DBE4"/>
      </x:top>
    </x:border>
    <x:border>
      <x:left style="thin">
        <x:color rgb="FFD5DBE4"/>
      </x:left>
    </x:border>
    <x:border>
      <x:right style="thin">
        <x:color rgb="FFD5DBE4"/>
      </x:right>
    </x:border>
    <x:border>
      <x:left style="thin">
        <x:color rgb="FFD5DBE4"/>
      </x:left>
      <x:bottom style="thin">
        <x:color rgb="FFD5DBE4"/>
      </x:bottom>
    </x:border>
    <x:border>
      <x:right style="thin">
        <x:color rgb="FFD5DBE4"/>
      </x:right>
      <x:bottom style="thin">
        <x:color rgb="FFD5DBE4"/>
      </x:bottom>
    </x:border>
    <x:border>
      <x:left style="thin">
        <x:color rgb="FFE3B341"/>
      </x:left>
      <x:top style="thin">
        <x:color rgb="FFE3B341"/>
      </x:top>
    </x:border>
    <x:border>
      <x:top style="thin">
        <x:color rgb="FFE3B341"/>
      </x:top>
    </x:border>
    <x:border>
      <x:right style="thin">
        <x:color rgb="FFE3B341"/>
      </x:right>
      <x:top style="thin">
        <x:color rgb="FFE3B341"/>
      </x:top>
    </x:border>
    <x:border>
      <x:left style="thin">
        <x:color rgb="FFE3B341"/>
      </x:left>
    </x:border>
    <x:border>
      <x:right style="thin">
        <x:color rgb="FFE3B341"/>
      </x:right>
    </x:border>
    <x:border>
      <x:left style="thin">
        <x:color rgb="FFE3B341"/>
      </x:left>
      <x:bottom style="thin">
        <x:color rgb="FFE3B341"/>
      </x:bottom>
    </x:border>
    <x:border>
      <x:bottom style="thin">
        <x:color rgb="FFE3B341"/>
      </x:bottom>
    </x:border>
    <x:border>
      <x:right style="thin">
        <x:color rgb="FFE3B341"/>
      </x:right>
      <x:bottom style="thin">
        <x:color rgb="FFE3B341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202" fontId="4" fillId="0" borderId="4" xfId="0" applyNumberFormat="1" applyFont="1" applyFill="1" applyBorder="1"/>
    <x:xf numFmtId="203" fontId="4" fillId="0" borderId="4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6" fillId="0" borderId="4" xfId="0" applyNumberFormat="1" applyFont="1" applyFill="1" applyBorder="1"/>
    <x:xf numFmtId="202" fontId="6" fillId="0" borderId="4" xfId="0" applyNumberFormat="1" applyFont="1" applyFill="1" applyBorder="1"/>
    <x:xf numFmtId="203" fontId="6" fillId="0" borderId="4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9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0" borderId="0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1" fillId="0" borderId="0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200" fontId="11" fillId="5" borderId="7" xfId="0" applyNumberFormat="1" applyFont="1" applyFill="1" applyBorder="1"/>
    <x:xf numFmtId="200" fontId="11" fillId="5" borderId="8" xfId="0" applyNumberFormat="1" applyFont="1" applyFill="1" applyBorder="1"/>
    <x:xf numFmtId="200" fontId="11" fillId="0" borderId="0" xfId="0" applyNumberFormat="1" applyFont="1" applyFill="1" applyBorder="1"/>
    <x:xf numFmtId="200" fontId="11" fillId="5" borderId="9" xfId="0" applyNumberFormat="1" applyFont="1" applyFill="1" applyBorder="1"/>
    <x:xf numFmtId="200" fontId="11" fillId="5" borderId="10" xfId="0" applyNumberFormat="1" applyFont="1" applyFill="1" applyBorder="1"/>
    <x:xf numFmtId="203" fontId="11" fillId="5" borderId="7" xfId="0" applyNumberFormat="1" applyFont="1" applyFill="1" applyBorder="1"/>
    <x:xf numFmtId="203" fontId="11" fillId="5" borderId="8" xfId="0" applyNumberFormat="1" applyFont="1" applyFill="1" applyBorder="1"/>
    <x:xf numFmtId="203" fontId="11" fillId="5" borderId="9" xfId="0" applyNumberFormat="1" applyFont="1" applyFill="1" applyBorder="1"/>
    <x:xf numFmtId="203" fontId="11" fillId="5" borderId="1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11" xfId="0" applyNumberFormat="1" applyFont="1" applyFill="1" applyBorder="1"/>
    <x:xf numFmtId="0" fontId="12" fillId="6" borderId="12" xfId="0" applyNumberFormat="1" applyFont="1" applyFill="1" applyBorder="1"/>
    <x:xf numFmtId="0" fontId="12" fillId="6" borderId="13" xfId="0" applyNumberFormat="1" applyFont="1" applyFill="1" applyBorder="1"/>
    <x:xf numFmtId="0" fontId="12" fillId="6" borderId="14" xfId="0" applyNumberFormat="1" applyFont="1" applyFill="1" applyBorder="1"/>
    <x:xf numFmtId="0" fontId="12" fillId="6" borderId="15" xfId="0" applyNumberFormat="1" applyFont="1" applyFill="1" applyBorder="1"/>
    <x:xf numFmtId="0" fontId="12" fillId="6" borderId="16" xfId="0" applyNumberFormat="1" applyFont="1" applyFill="1" applyBorder="1"/>
    <x:xf numFmtId="0" fontId="12" fillId="6" borderId="17" xfId="0" applyNumberFormat="1" applyFont="1" applyFill="1" applyBorder="1"/>
    <x:xf numFmtId="0" fontId="12" fillId="6" borderId="18" xfId="0" applyNumberFormat="1" applyFont="1" applyFill="1" applyBorder="1"/>
    <x:xf numFmtId="0" fontId="12" fillId="6" borderId="11" xfId="0" applyNumberFormat="1" applyFont="1" applyFill="1" applyBorder="1" applyAlignment="1">
      <x:alignment wrapText="1"/>
    </x:xf>
    <x:xf numFmtId="0" fontId="12" fillId="6" borderId="12" xfId="0" applyNumberFormat="1" applyFont="1" applyFill="1" applyBorder="1" applyAlignment="1">
      <x:alignment wrapText="1"/>
    </x:xf>
    <x:xf numFmtId="0" fontId="12" fillId="6" borderId="13" xfId="0" applyNumberFormat="1" applyFont="1" applyFill="1" applyBorder="1" applyAlignment="1">
      <x:alignment wrapText="1"/>
    </x:xf>
    <x:xf numFmtId="0" fontId="12" fillId="6" borderId="14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15" xfId="0" applyNumberFormat="1" applyFont="1" applyFill="1" applyBorder="1" applyAlignment="1">
      <x:alignment wrapText="1"/>
    </x:xf>
    <x:xf numFmtId="0" fontId="12" fillId="6" borderId="16" xfId="0" applyNumberFormat="1" applyFont="1" applyFill="1" applyBorder="1" applyAlignment="1">
      <x:alignment wrapText="1"/>
    </x:xf>
    <x:xf numFmtId="0" fontId="12" fillId="6" borderId="17" xfId="0" applyNumberFormat="1" applyFont="1" applyFill="1" applyBorder="1" applyAlignment="1">
      <x:alignment wrapText="1"/>
    </x:xf>
    <x:xf numFmtId="0" fontId="12" fillId="6" borderId="18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A67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9A67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9A6700"/>
      </x:font>
      <x:fill>
        <x:patternFill patternType="solid">
          <x:bgColor rgb="FFFFF4CC"/>
        </x:patternFill>
      </x:fill>
    </x:dxf>
    <x:dxf>
      <x:font>
        <x:b/>
        <x:color rgb="FF0B7A53"/>
      </x:font>
      <x:fill>
        <x:patternFill patternType="solid">
          <x:bgColor rgb="FFD1FAE5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144b0b32c4d53" /><Relationship Type="http://schemas.openxmlformats.org/officeDocument/2006/relationships/theme" Target="/xl/theme/theme1.xml" Id="Rbe937f1268cf4605" /><Relationship Type="http://schemas.openxmlformats.org/officeDocument/2006/relationships/sharedStrings" Target="/xl/sharedStrings.xml" Id="R4209946883304774" /><Relationship Type="http://schemas.openxmlformats.org/officeDocument/2006/relationships/worksheet" Target="/xl/worksheets/sheet1.xml" Id="Rbbfca47753f94184" /><Relationship Type="http://schemas.openxmlformats.org/officeDocument/2006/relationships/worksheet" Target="/xl/worksheets/sheet2.xml" Id="Racc5228479af42b1" /><Relationship Type="http://schemas.openxmlformats.org/officeDocument/2006/relationships/worksheet" Target="/xl/worksheets/sheet3.xml" Id="R7270b48d13094794" /><Relationship Type="http://schemas.openxmlformats.org/officeDocument/2006/relationships/worksheet" Target="/xl/worksheets/sheet4.xml" Id="R388ae878c70840ec" /><Relationship Type="http://schemas.openxmlformats.org/officeDocument/2006/relationships/worksheet" Target="/xl/worksheets/sheet5.xml" Id="Rdc2184c8c7bb4825" /><Relationship Type="http://schemas.openxmlformats.org/officeDocument/2006/relationships/worksheet" Target="/xl/worksheets/sheet6.xml" Id="Rfcfd3e285ada42b4" /><Relationship Type="http://schemas.openxmlformats.org/officeDocument/2006/relationships/worksheet" Target="/xl/worksheets/sheet7.xml" Id="Rd8be4902e34846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f1380107a24e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Contribution Margin by Brand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Contribution Margin</c:v>
          </c:tx>
          <c:spPr>
            <a:solidFill xmlns:a="http://schemas.openxmlformats.org/drawingml/2006/main">
              <a:srgbClr val="3D8DFF"/>
            </a:solidFill>
          </c:spPr>
          <c:cat>
            <c:strRef>
              <c:f>'Executive Summary'!$A$11:$A$13</c:f>
              <c:strCache>
                <c:ptCount val="0"/>
              </c:strCache>
            </c:strRef>
          </c:cat>
          <c:val>
            <c:numRef>
              <c:f>'Executive Summary'!$I$11:$I$13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f1380107a24e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BrandProfitabilityTable" displayName="BrandProfitabilityTable" ref="A4:J7" headerRowCount="1" totalsRowCount="0" totalsRowShown="0">
  <x:tableColumns count="10">
    <x:tableColumn id="1" name="Brand"/>
    <x:tableColumn id="2" name="Gross Sales"/>
    <x:tableColumn id="3" name="Promo Deduction"/>
    <x:tableColumn id="4" name="Net Sales"/>
    <x:tableColumn id="5" name="Referral Fees"/>
    <x:tableColumn id="6" name="FBA Fees"/>
    <x:tableColumn id="7" name="Net Units"/>
    <x:tableColumn id="8" name="Landed COGS"/>
    <x:tableColumn id="9" name="Contribution Margin"/>
    <x:tableColumn id="10" name="CM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kuProfitabilityTable" displayName="SkuProfitabilityTable" ref="A4:N28" headerRowCount="1" totalsRowCount="0" totalsRowShown="0">
  <x:tableColumns count="14">
    <x:tableColumn id="1" name="Brand"/>
    <x:tableColumn id="2" name="Canonical SKU"/>
    <x:tableColumn id="3" name="Product"/>
    <x:tableColumn id="4" name="Gross Sales"/>
    <x:tableColumn id="5" name="Promo Deduction"/>
    <x:tableColumn id="6" name="Net Sales"/>
    <x:tableColumn id="7" name="Referral Fees"/>
    <x:tableColumn id="8" name="FBA Fees"/>
    <x:tableColumn id="9" name="Net Units"/>
    <x:tableColumn id="10" name="Applied Unit Cost"/>
    <x:tableColumn id="11" name="Cost Status"/>
    <x:tableColumn id="12" name="Landed COGS"/>
    <x:tableColumn id="13" name="Contribution Margin"/>
    <x:tableColumn id="14" name="CM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HealthTable" displayName="InventoryHealthTable" ref="A4:O28" headerRowCount="1" totalsRowCount="0" totalsRowShown="0">
  <x:tableColumns count="15">
    <x:tableColumn id="1" name="Brand"/>
    <x:tableColumn id="2" name="Canonical SKU"/>
    <x:tableColumn id="3" name="Product"/>
    <x:tableColumn id="4" name="Fulfillable"/>
    <x:tableColumn id="5" name="Reserved"/>
    <x:tableColumn id="6" name="Unfulfillable"/>
    <x:tableColumn id="7" name="Inbound"/>
    <x:tableColumn id="8" name="Q2 Net Units"/>
    <x:tableColumn id="9" name="Daily Net Units"/>
    <x:tableColumn id="10" name="Fulfillable Days"/>
    <x:tableColumn id="11" name="Days incl. Inbound"/>
    <x:tableColumn id="12" name="Unfulfillable %"/>
    <x:tableColumn id="13" name="Unit Cost"/>
    <x:tableColumn id="14" name="Fulfillable Value"/>
    <x:tableColumn id="15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DataQualityTable" displayName="DataQualityTable" ref="A4:E12" headerRowCount="1" totalsRowCount="0" totalsRowShown="0">
  <x:tableColumns count="5">
    <x:tableColumn id="1" name="Severity"/>
    <x:tableColumn id="2" name="Issue"/>
    <x:tableColumn id="3" name="Evidence"/>
    <x:tableColumn id="4" name="Resolution in this analysis"/>
    <x:tableColumn id="5" name="Ongoing contr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oCostTable" displayName="PoCostTable" ref="A4:L26" headerRowCount="1" totalsRowCount="0" totalsRowShown="0">
  <x:tableColumns count="12">
    <x:tableColumn id="1" name="Brand"/>
    <x:tableColumn id="2" name="Canonical SKU"/>
    <x:tableColumn id="3" name="Product"/>
    <x:tableColumn id="4" name="PO Lines"/>
    <x:tableColumn id="5" name="First PO"/>
    <x:tableColumn id="6" name="Last PO"/>
    <x:tableColumn id="7" name="Purchased Units"/>
    <x:tableColumn id="8" name="Product Cost"/>
    <x:tableColumn id="9" name="Freight &amp; Duty"/>
    <x:tableColumn id="10" name="Landed Cost"/>
    <x:tableColumn id="11" name="Case Pack"/>
    <x:tableColumn id="12" name="Unit Landed 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d54cc3950744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842b23e5fa4f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ad61b3be8c4c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5ea1bc57d947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9307973a3349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fb9fa0816a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2" hidden="0" customWidth="1"/>
    <x:col min="8" max="8" width="14" hidden="0" customWidth="1"/>
    <x:col min="9" max="9" width="14" hidden="0" customWidth="1"/>
    <x:col min="10" max="10" width="17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 t="str">
        <x:v>Amazon Q2 2026 Profitability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 t="str">
        <x:v>Quarter ended 2026-06-30 | USD | Prepared for finance leadership</x:v>
      </x:c>
    </x:row>
    <x:row r="5">
      <x:c r="A5" s="47" t="str">
        <x:v>NET SALES</x:v>
      </x:c>
      <x:c r="B5" s="48"/>
      <x:c r="C5" s="49"/>
      <x:c r="D5" s="47" t="str">
        <x:v>CONTRIBUTION MARGIN</x:v>
      </x:c>
      <x:c r="E5" s="48"/>
      <x:c r="F5" s="49"/>
      <x:c r="G5" s="47" t="str">
        <x:v>CM %</x:v>
      </x:c>
      <x:c r="H5" s="48"/>
      <x:c r="I5" s="49"/>
      <x:c r="J5" s="47" t="str">
        <x:v>AFTER PLATFORM OVERHEAD</x:v>
      </x:c>
      <x:c r="K5" s="48"/>
    </x:row>
    <x:row r="6">
      <x:c r="A6" s="55" t="n">
        <x:f>'Brand Profitability'!D8</x:f>
        <x:v>132341.93</x:v>
      </x:c>
      <x:c r="B6" s="56"/>
      <x:c r="C6" s="57"/>
      <x:c r="D6" s="55" t="n">
        <x:f>'Brand Profitability'!I8</x:f>
        <x:v>51242.628279461285</x:v>
      </x:c>
      <x:c r="E6" s="56"/>
      <x:c r="F6" s="52"/>
      <x:c r="G6" s="60" t="n">
        <x:f>'Brand Profitability'!J8</x:f>
        <x:v>0.3871987379922696</x:v>
      </x:c>
      <x:c r="H6" s="61"/>
      <x:c r="I6" s="52"/>
      <x:c r="J6" s="55" t="n">
        <x:v>-5483.46</x:v>
      </x:c>
      <x:c r="K6" s="56"/>
    </x:row>
    <x:row r="7">
      <x:c r="A7" s="58"/>
      <x:c r="B7" s="59"/>
      <x:c r="C7" s="57"/>
      <x:c r="D7" s="58"/>
      <x:c r="E7" s="59"/>
      <x:c r="F7" s="52"/>
      <x:c r="G7" s="62"/>
      <x:c r="H7" s="63"/>
      <x:c r="I7" s="52"/>
      <x:c r="J7" s="58"/>
      <x:c r="K7" s="59"/>
    </x:row>
    <x:row r="10" ht="30" customHeight="1">
      <x:c r="A10" s="12" t="str">
        <x:v>Brand</x:v>
      </x:c>
      <x:c r="B10" s="13" t="str">
        <x:v>Gross Sales</x:v>
      </x:c>
      <x:c r="C10" s="13" t="str">
        <x:v>Promo</x:v>
      </x:c>
      <x:c r="D10" s="13" t="str">
        <x:v>Net Sales</x:v>
      </x:c>
      <x:c r="E10" s="13" t="str">
        <x:v>Referral</x:v>
      </x:c>
      <x:c r="F10" s="13" t="str">
        <x:v>FBA</x:v>
      </x:c>
      <x:c r="G10" s="13" t="str">
        <x:v>Net Units</x:v>
      </x:c>
      <x:c r="H10" s="13" t="str">
        <x:v>COGS</x:v>
      </x:c>
      <x:c r="I10" s="13" t="str">
        <x:v>CM</x:v>
      </x:c>
      <x:c r="J10" s="14" t="str">
        <x:v>CM %</x:v>
      </x:c>
    </x:row>
    <x:row r="11">
      <x:c r="A11" t="str">
        <x:v>GlowTheory</x:v>
      </x:c>
      <x:c r="B11" s="24" t="n">
        <x:f>'Brand Profitability'!B5</x:f>
        <x:v>44037.299999999996</x:v>
      </x:c>
      <x:c r="C11" s="24" t="n">
        <x:f>'Brand Profitability'!C5</x:f>
        <x:v>1164.79</x:v>
      </x:c>
      <x:c r="D11" s="24" t="n">
        <x:f>'Brand Profitability'!D5</x:f>
        <x:v>42872.50999999999</x:v>
      </x:c>
      <x:c r="E11" s="24" t="n">
        <x:f>'Brand Profitability'!E5</x:f>
        <x:v>6494.97</x:v>
      </x:c>
      <x:c r="F11" s="24" t="n">
        <x:f>'Brand Profitability'!F5</x:f>
        <x:v>7051.1</x:v>
      </x:c>
      <x:c r="G11" s="25" t="n">
        <x:f>'Brand Profitability'!G5</x:f>
        <x:v>1870</x:v>
      </x:c>
      <x:c r="H11" s="24" t="n">
        <x:f>'Brand Profitability'!H5</x:f>
        <x:v>8778.221</x:v>
      </x:c>
      <x:c r="I11" s="24" t="n">
        <x:f>'Brand Profitability'!I5</x:f>
        <x:v>20548.219</x:v>
      </x:c>
      <x:c r="J11" s="26" t="n">
        <x:f>'Brand Profitability'!J5</x:f>
        <x:v>0.47928658713940486</x:v>
      </x:c>
    </x:row>
    <x:row r="12">
      <x:c r="A12" t="str">
        <x:v>PawHaus</x:v>
      </x:c>
      <x:c r="B12" s="24" t="n">
        <x:f>'Brand Profitability'!B6</x:f>
        <x:v>34661</x:v>
      </x:c>
      <x:c r="C12" s="24" t="n">
        <x:f>'Brand Profitability'!C6</x:f>
        <x:v>848.28</x:v>
      </x:c>
      <x:c r="D12" s="24" t="n">
        <x:f>'Brand Profitability'!D6</x:f>
        <x:v>33812.719999999994</x:v>
      </x:c>
      <x:c r="E12" s="24" t="n">
        <x:f>'Brand Profitability'!E6</x:f>
        <x:v>5104.920000000001</x:v>
      </x:c>
      <x:c r="F12" s="24" t="n">
        <x:f>'Brand Profitability'!F6</x:f>
        <x:v>7624.900000000001</x:v>
      </x:c>
      <x:c r="G12" s="25" t="n">
        <x:f>'Brand Profitability'!G6</x:f>
        <x:v>1600</x:v>
      </x:c>
      <x:c r="H12" s="24" t="n">
        <x:f>'Brand Profitability'!H6</x:f>
        <x:v>12415.542720538717</x:v>
      </x:c>
      <x:c r="I12" s="24" t="n">
        <x:f>'Brand Profitability'!I6</x:f>
        <x:v>8667.357279461281</x:v>
      </x:c>
      <x:c r="J12" s="26" t="n">
        <x:f>'Brand Profitability'!J6</x:f>
        <x:v>0.25633422213478485</x:v>
      </x:c>
    </x:row>
    <x:row r="13">
      <x:c r="A13" t="str">
        <x:v>Peak Fuel</x:v>
      </x:c>
      <x:c r="B13" s="24" t="n">
        <x:f>'Brand Profitability'!B7</x:f>
        <x:v>57113.68</x:v>
      </x:c>
      <x:c r="C13" s="24" t="n">
        <x:f>'Brand Profitability'!C7</x:f>
        <x:v>1456.98</x:v>
      </x:c>
      <x:c r="D13" s="24" t="n">
        <x:f>'Brand Profitability'!D7</x:f>
        <x:v>55656.700000000004</x:v>
      </x:c>
      <x:c r="E13" s="24" t="n">
        <x:f>'Brand Profitability'!E7</x:f>
        <x:v>8397.1</x:v>
      </x:c>
      <x:c r="F13" s="24" t="n">
        <x:f>'Brand Profitability'!F7</x:f>
        <x:v>8719.45</x:v>
      </x:c>
      <x:c r="G13" s="25" t="n">
        <x:f>'Brand Profitability'!G7</x:f>
        <x:v>1732</x:v>
      </x:c>
      <x:c r="H13" s="24" t="n">
        <x:f>'Brand Profitability'!H7</x:f>
        <x:v>16513.098</x:v>
      </x:c>
      <x:c r="I13" s="24" t="n">
        <x:f>'Brand Profitability'!I7</x:f>
        <x:v>22027.052000000003</x:v>
      </x:c>
      <x:c r="J13" s="26" t="n">
        <x:f>'Brand Profitability'!J7</x:f>
        <x:v>0.3957664036854503</x:v>
      </x:c>
    </x:row>
    <x:row r="16">
      <x:c r="A16" s="34" t="str">
        <x:v>Leadership findings and recommendations</x:v>
      </x:c>
      <x:c r="B16" s="34"/>
      <x:c r="C16" s="34"/>
      <x:c r="D16" s="34"/>
      <x:c r="E16" s="34"/>
      <x:c r="F16" s="34"/>
    </x:row>
    <x:row r="17" ht="42" customHeight="1">
      <x:c r="A17" s="37" t="str">
        <x:v>1. Protect profitable demand: Peak Fuel and GlowTheory generate 83% of CM1; GT-SERUM-VITC and PF-WHEY-CHOC are the largest SKU contributors.</x:v>
      </x:c>
      <x:c r="B17" s="37"/>
      <x:c r="C17" s="37"/>
      <x:c r="D17" s="37"/>
      <x:c r="E17" s="37"/>
      <x:c r="F17" s="37"/>
    </x:row>
    <x:row r="18" ht="42" customHeight="1">
      <x:c r="A18" s="37" t="str">
        <x:v>2. Fix the advertising decision loop: $50.6K of SKU-less ad cost consumes 98.7% of CM1; ingest campaign/SKU ad detail before scaling spend.</x:v>
      </x:c>
      <x:c r="B18" s="37"/>
      <x:c r="C18" s="37"/>
      <x:c r="D18" s="37"/>
      <x:c r="E18" s="37"/>
      <x:c r="F18" s="37"/>
    </x:row>
    <x:row r="19" ht="42" customHeight="1">
      <x:c r="A19" s="37" t="str">
        <x:v>3. Rebalance inventory: PF-WHEY-CHOC and GT-SERUM-VITC have &lt;60 days of fulfillable cover, while 13 SKUs exceed one year of cover at Q2 demand.</x:v>
      </x:c>
      <x:c r="B19" s="37"/>
      <x:c r="C19" s="37"/>
      <x:c r="D19" s="37"/>
      <x:c r="E19" s="37"/>
      <x:c r="F19" s="37"/>
    </x:row>
    <x:row r="21">
      <x:c r="A21" s="74" t="str">
        <x:v>Decision caveat: two SKUs (2.3% of gross sales) use brand-median cost. CM1 is decision-useful, but those costs should be replaced before final accounting. Platform overhead remains below CM1 because the supplied file lacks causal SKU keys.</x:v>
      </x:c>
      <x:c r="B21" s="75"/>
      <x:c r="C21" s="75"/>
      <x:c r="D21" s="75"/>
      <x:c r="E21" s="75"/>
      <x:c r="F21" s="76"/>
    </x:row>
    <x:row r="22">
      <x:c r="A22" s="77"/>
      <x:c r="B22" s="78"/>
      <x:c r="C22" s="78"/>
      <x:c r="D22" s="78"/>
      <x:c r="E22" s="78"/>
      <x:c r="F22" s="79"/>
    </x:row>
    <x:row r="23">
      <x:c r="A23" s="80"/>
      <x:c r="B23" s="81"/>
      <x:c r="C23" s="81"/>
      <x:c r="D23" s="81"/>
      <x:c r="E23" s="81"/>
      <x:c r="F23" s="82"/>
    </x:row>
  </x:sheetData>
  <x:mergeCells>
    <x:mergeCell ref="A1:J2"/>
    <x:mergeCell ref="A5:B5"/>
    <x:mergeCell ref="A6:B7"/>
    <x:mergeCell ref="D5:E5"/>
    <x:mergeCell ref="D6:E7"/>
    <x:mergeCell ref="G5:H5"/>
    <x:mergeCell ref="G6:H7"/>
    <x:mergeCell ref="J5:K5"/>
    <x:mergeCell ref="J6:K7"/>
    <x:mergeCell ref="A16:F16"/>
    <x:mergeCell ref="A17:F17"/>
    <x:mergeCell ref="A18:F18"/>
    <x:mergeCell ref="A19:F19"/>
    <x:mergeCell ref="A21:F23"/>
  </x:mergeCells>
  <x:pageMargins left="0.7" right="0.7" top="0.75" bottom="0.75" header="0.3" footer="0.3"/>
  <x:drawing xmlns:r="http://schemas.openxmlformats.org/officeDocument/2006/relationships" r:id="R16d54cc3950744e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2" hidden="0" customWidth="1"/>
    <x:col min="8" max="8" width="15" hidden="0" customWidth="1"/>
    <x:col min="9" max="9" width="19" hidden="0" customWidth="1"/>
    <x:col min="10" max="10" width="11" hidden="0" customWidth="1"/>
  </x:cols>
  <x:sheetData>
    <x:row r="1">
      <x:c r="A1" s="3" t="str">
        <x:v>Brand Profitability | Q2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 t="str">
        <x:v>Formula-driven rollup of the SKU profitability schedule</x:v>
      </x:c>
    </x:row>
    <x:row r="4" ht="30" customHeight="1">
      <x:c r="A4" s="12" t="str">
        <x:v>Brand</x:v>
      </x:c>
      <x:c r="B4" s="13" t="str">
        <x:v>Gross Sales</x:v>
      </x:c>
      <x:c r="C4" s="13" t="str">
        <x:v>Promo Deduction</x:v>
      </x:c>
      <x:c r="D4" s="13" t="str">
        <x:v>Net Sales</x:v>
      </x:c>
      <x:c r="E4" s="13" t="str">
        <x:v>Referral Fees</x:v>
      </x:c>
      <x:c r="F4" s="13" t="str">
        <x:v>FBA Fees</x:v>
      </x:c>
      <x:c r="G4" s="13" t="str">
        <x:v>Net Units</x:v>
      </x:c>
      <x:c r="H4" s="13" t="str">
        <x:v>Landed COGS</x:v>
      </x:c>
      <x:c r="I4" s="13" t="str">
        <x:v>Contribution Margin</x:v>
      </x:c>
      <x:c r="J4" s="14" t="str">
        <x:v>CM %</x:v>
      </x:c>
    </x:row>
    <x:row r="5">
      <x:c r="A5" t="str">
        <x:v>GlowTheory</x:v>
      </x:c>
      <x:c r="B5" s="24" t="n">
        <x:f>SUMIF('SKU Profitability'!$A$5:$A$28,A5,'SKU Profitability'!$D$5:$D$28)</x:f>
        <x:v>44037.299999999996</x:v>
      </x:c>
      <x:c r="C5" s="24" t="n">
        <x:f>SUMIF('SKU Profitability'!$A$5:$A$28,A5,'SKU Profitability'!$E$5:$E$28)</x:f>
        <x:v>1164.79</x:v>
      </x:c>
      <x:c r="D5" s="24" t="n">
        <x:f>SUMIF('SKU Profitability'!$A$5:$A$28,A5,'SKU Profitability'!$F$5:$F$28)</x:f>
        <x:v>42872.50999999999</x:v>
      </x:c>
      <x:c r="E5" s="24" t="n">
        <x:f>SUMIF('SKU Profitability'!$A$5:$A$28,A5,'SKU Profitability'!$G$5:$G$28)</x:f>
        <x:v>6494.97</x:v>
      </x:c>
      <x:c r="F5" s="24" t="n">
        <x:f>SUMIF('SKU Profitability'!$A$5:$A$28,A5,'SKU Profitability'!$H$5:$H$28)</x:f>
        <x:v>7051.1</x:v>
      </x:c>
      <x:c r="G5" s="25" t="n">
        <x:f>SUMIF('SKU Profitability'!$A$5:$A$28,A5,'SKU Profitability'!$I$5:$I$28)</x:f>
        <x:v>1870</x:v>
      </x:c>
      <x:c r="H5" s="24" t="n">
        <x:f>SUMIF('SKU Profitability'!$A$5:$A$28,A5,'SKU Profitability'!$L$5:$L$28)</x:f>
        <x:v>8778.221</x:v>
      </x:c>
      <x:c r="I5" s="24" t="n">
        <x:f>SUMIF('SKU Profitability'!$A$5:$A$28,A5,'SKU Profitability'!$M$5:$M$28)</x:f>
        <x:v>20548.219</x:v>
      </x:c>
      <x:c r="J5" s="26" t="n">
        <x:f>IFERROR(I5/D5,0)</x:f>
        <x:v>0.47928658713940486</x:v>
      </x:c>
    </x:row>
    <x:row r="6">
      <x:c r="A6" t="str">
        <x:v>PawHaus</x:v>
      </x:c>
      <x:c r="B6" s="24" t="n">
        <x:f>SUMIF('SKU Profitability'!$A$5:$A$28,A6,'SKU Profitability'!$D$5:$D$28)</x:f>
        <x:v>34661</x:v>
      </x:c>
      <x:c r="C6" s="24" t="n">
        <x:f>SUMIF('SKU Profitability'!$A$5:$A$28,A6,'SKU Profitability'!$E$5:$E$28)</x:f>
        <x:v>848.28</x:v>
      </x:c>
      <x:c r="D6" s="24" t="n">
        <x:f>SUMIF('SKU Profitability'!$A$5:$A$28,A6,'SKU Profitability'!$F$5:$F$28)</x:f>
        <x:v>33812.719999999994</x:v>
      </x:c>
      <x:c r="E6" s="24" t="n">
        <x:f>SUMIF('SKU Profitability'!$A$5:$A$28,A6,'SKU Profitability'!$G$5:$G$28)</x:f>
        <x:v>5104.920000000001</x:v>
      </x:c>
      <x:c r="F6" s="24" t="n">
        <x:f>SUMIF('SKU Profitability'!$A$5:$A$28,A6,'SKU Profitability'!$H$5:$H$28)</x:f>
        <x:v>7624.900000000001</x:v>
      </x:c>
      <x:c r="G6" s="25" t="n">
        <x:f>SUMIF('SKU Profitability'!$A$5:$A$28,A6,'SKU Profitability'!$I$5:$I$28)</x:f>
        <x:v>1600</x:v>
      </x:c>
      <x:c r="H6" s="24" t="n">
        <x:f>SUMIF('SKU Profitability'!$A$5:$A$28,A6,'SKU Profitability'!$L$5:$L$28)</x:f>
        <x:v>12415.542720538717</x:v>
      </x:c>
      <x:c r="I6" s="24" t="n">
        <x:f>SUMIF('SKU Profitability'!$A$5:$A$28,A6,'SKU Profitability'!$M$5:$M$28)</x:f>
        <x:v>8667.357279461281</x:v>
      </x:c>
      <x:c r="J6" s="26" t="n">
        <x:f>IFERROR(I6/D6,0)</x:f>
        <x:v>0.25633422213478485</x:v>
      </x:c>
    </x:row>
    <x:row r="7">
      <x:c r="A7" t="str">
        <x:v>Peak Fuel</x:v>
      </x:c>
      <x:c r="B7" s="24" t="n">
        <x:f>SUMIF('SKU Profitability'!$A$5:$A$28,A7,'SKU Profitability'!$D$5:$D$28)</x:f>
        <x:v>57113.68</x:v>
      </x:c>
      <x:c r="C7" s="24" t="n">
        <x:f>SUMIF('SKU Profitability'!$A$5:$A$28,A7,'SKU Profitability'!$E$5:$E$28)</x:f>
        <x:v>1456.98</x:v>
      </x:c>
      <x:c r="D7" s="24" t="n">
        <x:f>SUMIF('SKU Profitability'!$A$5:$A$28,A7,'SKU Profitability'!$F$5:$F$28)</x:f>
        <x:v>55656.700000000004</x:v>
      </x:c>
      <x:c r="E7" s="24" t="n">
        <x:f>SUMIF('SKU Profitability'!$A$5:$A$28,A7,'SKU Profitability'!$G$5:$G$28)</x:f>
        <x:v>8397.1</x:v>
      </x:c>
      <x:c r="F7" s="24" t="n">
        <x:f>SUMIF('SKU Profitability'!$A$5:$A$28,A7,'SKU Profitability'!$H$5:$H$28)</x:f>
        <x:v>8719.45</x:v>
      </x:c>
      <x:c r="G7" s="25" t="n">
        <x:f>SUMIF('SKU Profitability'!$A$5:$A$28,A7,'SKU Profitability'!$I$5:$I$28)</x:f>
        <x:v>1732</x:v>
      </x:c>
      <x:c r="H7" s="24" t="n">
        <x:f>SUMIF('SKU Profitability'!$A$5:$A$28,A7,'SKU Profitability'!$L$5:$L$28)</x:f>
        <x:v>16513.098</x:v>
      </x:c>
      <x:c r="I7" s="24" t="n">
        <x:f>SUMIF('SKU Profitability'!$A$5:$A$28,A7,'SKU Profitability'!$M$5:$M$28)</x:f>
        <x:v>22027.052000000003</x:v>
      </x:c>
      <x:c r="J7" s="26" t="n">
        <x:f>IFERROR(I7/D7,0)</x:f>
        <x:v>0.3957664036854503</x:v>
      </x:c>
    </x:row>
    <x:row r="8">
      <x:c r="A8" s="20" t="str">
        <x:v>Total</x:v>
      </x:c>
      <x:c r="B8" s="27" t="n">
        <x:f>SUM(B5:B7)</x:f>
        <x:v>135811.97999999998</x:v>
      </x:c>
      <x:c r="C8" s="27" t="n">
        <x:f>SUM(C5:C7)</x:f>
        <x:v>3470.05</x:v>
      </x:c>
      <x:c r="D8" s="27" t="n">
        <x:f>SUM(D5:D7)</x:f>
        <x:v>132341.93</x:v>
      </x:c>
      <x:c r="E8" s="27" t="n">
        <x:f>SUM(E5:E7)</x:f>
        <x:v>19996.99</x:v>
      </x:c>
      <x:c r="F8" s="27" t="n">
        <x:f>SUM(F5:F7)</x:f>
        <x:v>23395.45</x:v>
      </x:c>
      <x:c r="G8" s="28" t="n">
        <x:f>SUM(G5:G7)</x:f>
        <x:v>5202</x:v>
      </x:c>
      <x:c r="H8" s="27" t="n">
        <x:f>SUM(H5:H7)</x:f>
        <x:v>37706.86172053871</x:v>
      </x:c>
      <x:c r="I8" s="27" t="n">
        <x:f>SUM(I5:I7)</x:f>
        <x:v>51242.628279461285</x:v>
      </x:c>
      <x:c r="J8" s="29" t="n">
        <x:f>IFERROR(I8/D8,0)</x:f>
        <x:v>0.3871987379922696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68842b23e5fa4f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1" hidden="0" customWidth="1"/>
    <x:col min="10" max="10" width="15" hidden="0" customWidth="1"/>
    <x:col min="11" max="11" width="20" hidden="0" customWidth="1"/>
    <x:col min="12" max="12" width="14" hidden="0" customWidth="1"/>
    <x:col min="13" max="13" width="18" hidden="0" customWidth="1"/>
    <x:col min="14" max="14" width="11" hidden="0" customWidth="1"/>
  </x:cols>
  <x:sheetData>
    <x:row r="1">
      <x:c r="A1" s="3" t="str">
        <x:v>SKU Profitability | Q2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 t="str">
        <x:v>CM1 = net sales after promotions - referral fees - FBA fees - landed COGS</x:v>
      </x:c>
    </x:row>
    <x:row r="4" ht="30" customHeight="1">
      <x:c r="A4" s="12" t="str">
        <x:v>Brand</x:v>
      </x:c>
      <x:c r="B4" s="13" t="str">
        <x:v>Canonical SKU</x:v>
      </x:c>
      <x:c r="C4" s="13" t="str">
        <x:v>Product</x:v>
      </x:c>
      <x:c r="D4" s="13" t="str">
        <x:v>Gross Sales</x:v>
      </x:c>
      <x:c r="E4" s="13" t="str">
        <x:v>Promo Deduction</x:v>
      </x:c>
      <x:c r="F4" s="13" t="str">
        <x:v>Net Sales</x:v>
      </x:c>
      <x:c r="G4" s="13" t="str">
        <x:v>Referral Fees</x:v>
      </x:c>
      <x:c r="H4" s="13" t="str">
        <x:v>FBA Fees</x:v>
      </x:c>
      <x:c r="I4" s="13" t="str">
        <x:v>Net Units</x:v>
      </x:c>
      <x:c r="J4" s="13" t="str">
        <x:v>Applied Unit Cost</x:v>
      </x:c>
      <x:c r="K4" s="13" t="str">
        <x:v>Cost Status</x:v>
      </x:c>
      <x:c r="L4" s="13" t="str">
        <x:v>Landed COGS</x:v>
      </x:c>
      <x:c r="M4" s="13" t="str">
        <x:v>Contribution Margin</x:v>
      </x:c>
      <x:c r="N4" s="14" t="str">
        <x:v>CM %</x:v>
      </x:c>
    </x:row>
    <x:row r="5">
      <x:c r="A5" t="str">
        <x:v>GlowTheory</x:v>
      </x:c>
      <x:c r="B5" t="str">
        <x:v>GT-SERUM-VITC</x:v>
      </x:c>
      <x:c r="C5" t="str">
        <x:v>GlowTheory Vitamin C Serum 30ml</x:v>
      </x:c>
      <x:c r="D5" s="15" t="n">
        <x:v>14118.13</x:v>
      </x:c>
      <x:c r="E5" s="15" t="n">
        <x:v>394.39</x:v>
      </x:c>
      <x:c r="F5" s="15" t="n">
        <x:f>D5-E5</x:f>
        <x:v>13723.74</x:v>
      </x:c>
      <x:c r="G5" s="15" t="n">
        <x:v>2073.73</x:v>
      </x:c>
      <x:c r="H5" s="15" t="n">
        <x:v>1789.1999999999998</x:v>
      </x:c>
      <x:c r="I5" s="17" t="n">
        <x:v>487</x:v>
      </x:c>
      <x:c r="J5" s="16" t="n">
        <x:v>4.804</x:v>
      </x:c>
      <x:c r="K5" t="str">
        <x:v>PO WAC</x:v>
      </x:c>
      <x:c r="L5" s="15" t="n">
        <x:f>I5*J5</x:f>
        <x:v>2339.5480000000002</x:v>
      </x:c>
      <x:c r="M5" s="15" t="n">
        <x:f>F5-G5-H5-L5</x:f>
        <x:v>7521.262000000001</x:v>
      </x:c>
      <x:c r="N5" s="18" t="n">
        <x:f>IFERROR(M5/F5,0)</x:f>
        <x:v>0.5480475438910968</x:v>
      </x:c>
    </x:row>
    <x:row r="6">
      <x:c r="A6" t="str">
        <x:v>GlowTheory</x:v>
      </x:c>
      <x:c r="B6" t="str">
        <x:v>GT-SERUM-HA</x:v>
      </x:c>
      <x:c r="C6" t="str">
        <x:v>GlowTheory Hyaluronic Acid Serum 30ml</x:v>
      </x:c>
      <x:c r="D6" s="15" t="n">
        <x:v>9396.24</x:v>
      </x:c>
      <x:c r="E6" s="15" t="n">
        <x:v>212.5</x:v>
      </x:c>
      <x:c r="F6" s="15" t="n">
        <x:f>D6-E6</x:f>
        <x:v>9183.74</x:v>
      </x:c>
      <x:c r="G6" s="15" t="n">
        <x:v>1390.81</x:v>
      </x:c>
      <x:c r="H6" s="15" t="n">
        <x:v>1398.7</x:v>
      </x:c>
      <x:c r="I6" s="17" t="n">
        <x:v>376</x:v>
      </x:c>
      <x:c r="J6" s="16" t="n">
        <x:v>4.098</x:v>
      </x:c>
      <x:c r="K6" t="str">
        <x:v>PO WAC</x:v>
      </x:c>
      <x:c r="L6" s="15" t="n">
        <x:f>I6*J6</x:f>
        <x:v>1540.848</x:v>
      </x:c>
      <x:c r="M6" s="15" t="n">
        <x:f>F6-G6-H6-L6</x:f>
        <x:v>4853.3820000000005</x:v>
      </x:c>
      <x:c r="N6" s="18" t="n">
        <x:f>IFERROR(M6/F6,0)</x:f>
        <x:v>0.5284755448216087</x:v>
      </x:c>
    </x:row>
    <x:row r="7">
      <x:c r="A7" t="str">
        <x:v>GlowTheory</x:v>
      </x:c>
      <x:c r="B7" t="str">
        <x:v>GT-MOIST-50ML</x:v>
      </x:c>
      <x:c r="C7" t="str">
        <x:v>GlowTheory Daily Moisturizer 50ml</x:v>
      </x:c>
      <x:c r="D7" s="15" t="n">
        <x:v>5563.58</x:v>
      </x:c>
      <x:c r="E7" s="15" t="n">
        <x:v>177.1</x:v>
      </x:c>
      <x:c r="F7" s="15" t="n">
        <x:f>D7-E7</x:f>
        <x:v>5386.48</x:v>
      </x:c>
      <x:c r="G7" s="15" t="n">
        <x:v>812.6800000000001</x:v>
      </x:c>
      <x:c r="H7" s="15" t="n">
        <x:v>896.4</x:v>
      </x:c>
      <x:c r="I7" s="17" t="n">
        <x:v>242</x:v>
      </x:c>
      <x:c r="J7" s="16" t="n">
        <x:v>5.196000000000001</x:v>
      </x:c>
      <x:c r="K7" t="str">
        <x:v>PO WAC</x:v>
      </x:c>
      <x:c r="L7" s="15" t="n">
        <x:f>I7*J7</x:f>
        <x:v>1257.4320000000002</x:v>
      </x:c>
      <x:c r="M7" s="15" t="n">
        <x:f>F7-G7-H7-L7</x:f>
        <x:v>2419.967999999999</x:v>
      </x:c>
      <x:c r="N7" s="18" t="n">
        <x:f>IFERROR(M7/F7,0)</x:f>
        <x:v>0.44926705380879517</x:v>
      </x:c>
    </x:row>
    <x:row r="8">
      <x:c r="A8" t="str">
        <x:v>GlowTheory</x:v>
      </x:c>
      <x:c r="B8" t="str">
        <x:v>GT-SPF30-TINT</x:v>
      </x:c>
      <x:c r="C8" t="str">
        <x:v>GlowTheory Tinted SPF 30 Sunscreen 50ml</x:v>
      </x:c>
      <x:c r="D8" s="15" t="n">
        <x:v>5109.87</x:v>
      </x:c>
      <x:c r="E8" s="15" t="n">
        <x:v>129.6</x:v>
      </x:c>
      <x:c r="F8" s="15" t="n">
        <x:f>D8-E8</x:f>
        <x:v>4980.2699999999995</x:v>
      </x:c>
      <x:c r="G8" s="15" t="n">
        <x:v>757.16</x:v>
      </x:c>
      <x:c r="H8" s="15" t="n">
        <x:v>817.2</x:v>
      </x:c>
      <x:c r="I8" s="17" t="n">
        <x:v>213</x:v>
      </x:c>
      <x:c r="J8" s="16" t="n">
        <x:v>6.304</x:v>
      </x:c>
      <x:c r="K8" t="str">
        <x:v>PO WAC</x:v>
      </x:c>
      <x:c r="L8" s="15" t="n">
        <x:f>I8*J8</x:f>
        <x:v>1342.752</x:v>
      </x:c>
      <x:c r="M8" s="15" t="n">
        <x:f>F8-G8-H8-L8</x:f>
        <x:v>2063.158</x:v>
      </x:c>
      <x:c r="N8" s="18" t="n">
        <x:f>IFERROR(M8/F8,0)</x:f>
        <x:v>0.41426629479927796</x:v>
      </x:c>
    </x:row>
    <x:row r="9">
      <x:c r="A9" t="str">
        <x:v>GlowTheory</x:v>
      </x:c>
      <x:c r="B9" t="str">
        <x:v>GT-EYE-CREAM</x:v>
      </x:c>
      <x:c r="C9" t="str">
        <x:v>GlowTheory Restorative Eye Cream 15ml</x:v>
      </x:c>
      <x:c r="D9" s="15" t="n">
        <x:v>3265.79</x:v>
      </x:c>
      <x:c r="E9" s="15" t="n">
        <x:v>105.30000000000001</x:v>
      </x:c>
      <x:c r="F9" s="15" t="n">
        <x:f>D9-E9</x:f>
        <x:v>3160.49</x:v>
      </x:c>
      <x:c r="G9" s="15" t="n">
        <x:v>478.71999999999997</x:v>
      </x:c>
      <x:c r="H9" s="15" t="n">
        <x:v>444.5</x:v>
      </x:c>
      <x:c r="I9" s="17" t="n">
        <x:v>121</x:v>
      </x:c>
      <x:c r="J9" s="16" t="n">
        <x:v>5.098</x:v>
      </x:c>
      <x:c r="K9" t="str">
        <x:v>PO WAC</x:v>
      </x:c>
      <x:c r="L9" s="15" t="n">
        <x:f>I9*J9</x:f>
        <x:v>616.858</x:v>
      </x:c>
      <x:c r="M9" s="15" t="n">
        <x:f>F9-G9-H9-L9</x:f>
        <x:v>1620.412</x:v>
      </x:c>
      <x:c r="N9" s="18" t="n">
        <x:f>IFERROR(M9/F9,0)</x:f>
        <x:v>0.5127091052336822</x:v>
      </x:c>
    </x:row>
    <x:row r="10">
      <x:c r="A10" t="str">
        <x:v>GlowTheory</x:v>
      </x:c>
      <x:c r="B10" t="str">
        <x:v>GT-CLEANSE-150</x:v>
      </x:c>
      <x:c r="C10" t="str">
        <x:v>GlowTheory Gentle Foaming Cleanser 150ml</x:v>
      </x:c>
      <x:c r="D10" s="15" t="n">
        <x:v>2854.3199999999997</x:v>
      </x:c>
      <x:c r="E10" s="15" t="n">
        <x:v>66.3</x:v>
      </x:c>
      <x:c r="F10" s="15" t="n">
        <x:f>D10-E10</x:f>
        <x:v>2788.0199999999995</x:v>
      </x:c>
      <x:c r="G10" s="15" t="n">
        <x:v>423.98999999999995</x:v>
      </x:c>
      <x:c r="H10" s="15" t="n">
        <x:v>662.3000000000001</x:v>
      </x:c>
      <x:c r="I10" s="17" t="n">
        <x:v>168</x:v>
      </x:c>
      <x:c r="J10" s="16" t="n">
        <x:v>3.902</x:v>
      </x:c>
      <x:c r="K10" t="str">
        <x:v>PO WAC</x:v>
      </x:c>
      <x:c r="L10" s="15" t="n">
        <x:f>I10*J10</x:f>
        <x:v>655.5360000000001</x:v>
      </x:c>
      <x:c r="M10" s="15" t="n">
        <x:f>F10-G10-H10-L10</x:f>
        <x:v>1046.1939999999995</x:v>
      </x:c>
      <x:c r="N10" s="18" t="n">
        <x:f>IFERROR(M10/F10,0)</x:f>
        <x:v>0.3752462320930265</x:v>
      </x:c>
    </x:row>
    <x:row r="11">
      <x:c r="A11" t="str">
        <x:v>GlowTheory</x:v>
      </x:c>
      <x:c r="B11" t="str">
        <x:v>GT-ROLLER-JADE</x:v>
      </x:c>
      <x:c r="C11" t="str">
        <x:v>GlowTheory Jade Facial Roller</x:v>
      </x:c>
      <x:c r="D11" s="15" t="n">
        <x:v>1371.02</x:v>
      </x:c>
      <x:c r="E11" s="15" t="n">
        <x:v>26.599999999999998</x:v>
      </x:c>
      <x:c r="F11" s="15" t="n">
        <x:f>D11-E11</x:f>
        <x:v>1344.42</x:v>
      </x:c>
      <x:c r="G11" s="15" t="n">
        <x:v>204.33</x:v>
      </x:c>
      <x:c r="H11" s="15" t="n">
        <x:v>353.59999999999997</x:v>
      </x:c>
      <x:c r="I11" s="17" t="n">
        <x:v>98</x:v>
      </x:c>
      <x:c r="J11" s="16" t="n">
        <x:v>2.696</x:v>
      </x:c>
      <x:c r="K11" t="str">
        <x:v>PO WAC</x:v>
      </x:c>
      <x:c r="L11" s="15" t="n">
        <x:f>I11*J11</x:f>
        <x:v>264.208</x:v>
      </x:c>
      <x:c r="M11" s="15" t="n">
        <x:f>F11-G11-H11-L11</x:f>
        <x:v>522.2820000000002</x:v>
      </x:c>
      <x:c r="N11" s="18" t="n">
        <x:f>IFERROR(M11/F11,0)</x:f>
        <x:v>0.3884812781719999</x:v>
      </x:c>
    </x:row>
    <x:row r="12">
      <x:c r="A12" t="str">
        <x:v>GlowTheory</x:v>
      </x:c>
      <x:c r="B12" t="str">
        <x:v>GT-MASK-CLAY</x:v>
      </x:c>
      <x:c r="C12" t="str">
        <x:v>GlowTheory Detox Clay Mask 100g</x:v>
      </x:c>
      <x:c r="D12" s="15" t="n">
        <x:v>2128.58</x:v>
      </x:c>
      <x:c r="E12" s="15" t="n">
        <x:v>48</x:v>
      </x:c>
      <x:c r="F12" s="15" t="n">
        <x:f>D12-E12</x:f>
        <x:v>2080.58</x:v>
      </x:c>
      <x:c r="G12" s="15" t="n">
        <x:v>319.8</x:v>
      </x:c>
      <x:c r="H12" s="15" t="n">
        <x:v>612.15</x:v>
      </x:c>
      <x:c r="I12" s="17" t="n">
        <x:v>142</x:v>
      </x:c>
      <x:c r="J12" s="16" t="n">
        <x:v>4.598</x:v>
      </x:c>
      <x:c r="K12" t="str">
        <x:v>PO WAC</x:v>
      </x:c>
      <x:c r="L12" s="15" t="n">
        <x:f>I12*J12</x:f>
        <x:v>652.9159999999999</x:v>
      </x:c>
      <x:c r="M12" s="15" t="n">
        <x:f>F12-G12-H12-L12</x:f>
        <x:v>495.71400000000017</x:v>
      </x:c>
      <x:c r="N12" s="18" t="n">
        <x:f>IFERROR(M12/F12,0)</x:f>
        <x:v>0.23825760124580656</x:v>
      </x:c>
    </x:row>
    <x:row r="13">
      <x:c r="A13" t="str">
        <x:v>GlowTheory</x:v>
      </x:c>
      <x:c r="B13" t="str">
        <x:v>GT-LIP-BALM</x:v>
      </x:c>
      <x:c r="C13" t="str">
        <x:v>GlowTheory Repair Lip Balm SPF 15</x:v>
      </x:c>
      <x:c r="D13" s="15" t="n">
        <x:v>229.77</x:v>
      </x:c>
      <x:c r="E13" s="15" t="n">
        <x:v>5</x:v>
      </x:c>
      <x:c r="F13" s="15" t="n">
        <x:f>D13-E13</x:f>
        <x:v>224.77</x:v>
      </x:c>
      <x:c r="G13" s="15" t="n">
        <x:v>33.75</x:v>
      </x:c>
      <x:c r="H13" s="15" t="n">
        <x:v>77.05</x:v>
      </x:c>
      <x:c r="I13" s="17" t="n">
        <x:v>23</x:v>
      </x:c>
      <x:c r="J13" s="16" t="n">
        <x:v>4.7010000000000005</x:v>
      </x:c>
      <x:c r="K13" t="str">
        <x:v>IMPUTED - REVIEW</x:v>
      </x:c>
      <x:c r="L13" s="15" t="n">
        <x:f>I13*J13</x:f>
        <x:v>108.12300000000002</x:v>
      </x:c>
      <x:c r="M13" s="15" t="n">
        <x:f>F13-G13-H13-L13</x:f>
        <x:v>5.846999999999994</x:v>
      </x:c>
      <x:c r="N13" s="18" t="n">
        <x:f>IFERROR(M13/F13,0)</x:f>
        <x:v>0.026013257997063638</x:v>
      </x:c>
    </x:row>
    <x:row r="14">
      <x:c r="A14" t="str">
        <x:v>PawHaus</x:v>
      </x:c>
      <x:c r="B14" t="str">
        <x:v>PH-CHEW-BULLY-6</x:v>
      </x:c>
      <x:c r="C14" t="str">
        <x:v>PawHaus Bully Stick Chews 6in 8pk</x:v>
      </x:c>
      <x:c r="D14" s="15" t="n">
        <x:v>8787.07</x:v>
      </x:c>
      <x:c r="E14" s="15" t="n">
        <x:v>186</x:v>
      </x:c>
      <x:c r="F14" s="15" t="n">
        <x:f>D14-E14</x:f>
        <x:v>8601.07</x:v>
      </x:c>
      <x:c r="G14" s="15" t="n">
        <x:v>1299.33</x:v>
      </x:c>
      <x:c r="H14" s="15" t="n">
        <x:v>1393.8</x:v>
      </x:c>
      <x:c r="I14" s="17" t="n">
        <x:v>293</x:v>
      </x:c>
      <x:c r="J14" s="16" t="n">
        <x:v>11.402</x:v>
      </x:c>
      <x:c r="K14" t="str">
        <x:v>PO WAC</x:v>
      </x:c>
      <x:c r="L14" s="15" t="n">
        <x:f>I14*J14</x:f>
        <x:v>3340.7859999999996</x:v>
      </x:c>
      <x:c r="M14" s="15" t="n">
        <x:f>F14-G14-H14-L14</x:f>
        <x:v>2567.154</x:v>
      </x:c>
      <x:c r="N14" s="18" t="n">
        <x:f>IFERROR(M14/F14,0)</x:f>
        <x:v>0.2984691439553451</x:v>
      </x:c>
    </x:row>
    <x:row r="15">
      <x:c r="A15" t="str">
        <x:v>PawHaus</x:v>
      </x:c>
      <x:c r="B15" t="str">
        <x:v>PH-TREAT-SALMON</x:v>
      </x:c>
      <x:c r="C15" t="str">
        <x:v>PawHaus Salmon Training Treats 16oz</x:v>
      </x:c>
      <x:c r="D15" s="15" t="n">
        <x:v>7482.0599999999995</x:v>
      </x:c>
      <x:c r="E15" s="15" t="n">
        <x:v>220.39</x:v>
      </x:c>
      <x:c r="F15" s="15" t="n">
        <x:f>D15-E15</x:f>
        <x:v>7261.669999999999</x:v>
      </x:c>
      <x:c r="G15" s="15" t="n">
        <x:v>1092.3500000000001</x:v>
      </x:c>
      <x:c r="H15" s="15" t="n">
        <x:v>1556.1</x:v>
      </x:c>
      <x:c r="I15" s="17" t="n">
        <x:v>394</x:v>
      </x:c>
      <x:c r="J15" s="16" t="n">
        <x:v>6.196</x:v>
      </x:c>
      <x:c r="K15" t="str">
        <x:v>PO WAC</x:v>
      </x:c>
      <x:c r="L15" s="15" t="n">
        <x:f>I15*J15</x:f>
        <x:v>2441.2239999999997</x:v>
      </x:c>
      <x:c r="M15" s="15" t="n">
        <x:f>F15-G15-H15-L15</x:f>
        <x:v>2171.9959999999996</x:v>
      </x:c>
      <x:c r="N15" s="18" t="n">
        <x:f>IFERROR(M15/F15,0)</x:f>
        <x:v>0.2991042005489095</x:v>
      </x:c>
    </x:row>
    <x:row r="16">
      <x:c r="A16" t="str">
        <x:v>PawHaus</x:v>
      </x:c>
      <x:c r="B16" t="str">
        <x:v>PH-DENTAL-30CT</x:v>
      </x:c>
      <x:c r="C16" t="str">
        <x:v>PawHaus Dental Chews 30ct</x:v>
      </x:c>
      <x:c r="D16" s="15" t="n">
        <x:v>5717.4</x:v>
      </x:c>
      <x:c r="E16" s="15" t="n">
        <x:v>114.4</x:v>
      </x:c>
      <x:c r="F16" s="15" t="n">
        <x:f>D16-E16</x:f>
        <x:v>5603</x:v>
      </x:c>
      <x:c r="G16" s="15" t="n">
        <x:v>842.75</x:v>
      </x:c>
      <x:c r="H16" s="15" t="n">
        <x:v>1078.3</x:v>
      </x:c>
      <x:c r="I16" s="17" t="n">
        <x:v>260</x:v>
      </x:c>
      <x:c r="J16" s="16" t="n">
        <x:v>7.299831649831649</x:v>
      </x:c>
      <x:c r="K16" t="str">
        <x:v>PO WAC</x:v>
      </x:c>
      <x:c r="L16" s="15" t="n">
        <x:f>I16*J16</x:f>
        <x:v>1897.9562289562289</x:v>
      </x:c>
      <x:c r="M16" s="15" t="n">
        <x:f>F16-G16-H16-L16</x:f>
        <x:v>1783.993771043771</x:v>
      </x:c>
      <x:c r="N16" s="18" t="n">
        <x:f>IFERROR(M16/F16,0)</x:f>
        <x:v>0.31839974496587026</x:v>
      </x:c>
    </x:row>
    <x:row r="17">
      <x:c r="A17" t="str">
        <x:v>PawHaus</x:v>
      </x:c>
      <x:c r="B17" t="str">
        <x:v>PH-SHAMPOO-OAT</x:v>
      </x:c>
      <x:c r="C17" t="str">
        <x:v>PawHaus Oatmeal Dog Shampoo 16oz</x:v>
      </x:c>
      <x:c r="D17" s="15" t="n">
        <x:v>3006.12</x:v>
      </x:c>
      <x:c r="E17" s="15" t="n">
        <x:v>75.2</x:v>
      </x:c>
      <x:c r="F17" s="15" t="n">
        <x:f>D17-E17</x:f>
        <x:v>2930.92</x:v>
      </x:c>
      <x:c r="G17" s="15" t="n">
        <x:v>439.92</x:v>
      </x:c>
      <x:c r="H17" s="15" t="n">
        <x:v>742.6</x:v>
      </x:c>
      <x:c r="I17" s="17" t="n">
        <x:v>188</x:v>
      </x:c>
      <x:c r="J17" s="16" t="n">
        <x:v>3.804</x:v>
      </x:c>
      <x:c r="K17" t="str">
        <x:v>PO WAC</x:v>
      </x:c>
      <x:c r="L17" s="15" t="n">
        <x:f>I17*J17</x:f>
        <x:v>715.1519999999999</x:v>
      </x:c>
      <x:c r="M17" s="15" t="n">
        <x:f>F17-G17-H17-L17</x:f>
        <x:v>1033.248</x:v>
      </x:c>
      <x:c r="N17" s="18" t="n">
        <x:f>IFERROR(M17/F17,0)</x:f>
        <x:v>0.3525336754329699</x:v>
      </x:c>
    </x:row>
    <x:row r="18">
      <x:c r="A18" t="str">
        <x:v>PawHaus</x:v>
      </x:c>
      <x:c r="B18" t="str">
        <x:v>PH-BRUSH-DBL</x:v>
      </x:c>
      <x:c r="C18" t="str">
        <x:v>PawHaus Double-Sided Grooming Brush</x:v>
      </x:c>
      <x:c r="D18" s="15" t="n">
        <x:v>1857.57</x:v>
      </x:c>
      <x:c r="E18" s="15" t="n">
        <x:v>33.8</x:v>
      </x:c>
      <x:c r="F18" s="15" t="n">
        <x:f>D18-E18</x:f>
        <x:v>1823.77</x:v>
      </x:c>
      <x:c r="G18" s="15" t="n">
        <x:v>277.98</x:v>
      </x:c>
      <x:c r="H18" s="15" t="n">
        <x:v>531.3000000000001</x:v>
      </x:c>
      <x:c r="I18" s="17" t="n">
        <x:v>143</x:v>
      </x:c>
      <x:c r="J18" s="16" t="n">
        <x:v>2.5980000000000003</x:v>
      </x:c>
      <x:c r="K18" t="str">
        <x:v>PO WAC</x:v>
      </x:c>
      <x:c r="L18" s="15" t="n">
        <x:f>I18*J18</x:f>
        <x:v>371.51400000000007</x:v>
      </x:c>
      <x:c r="M18" s="15" t="n">
        <x:f>F18-G18-H18-L18</x:f>
        <x:v>642.9759999999999</x:v>
      </x:c>
      <x:c r="N18" s="18" t="n">
        <x:f>IFERROR(M18/F18,0)</x:f>
        <x:v>0.3525532276548029</x:v>
      </x:c>
    </x:row>
    <x:row r="19">
      <x:c r="A19" t="str">
        <x:v>PawHaus</x:v>
      </x:c>
      <x:c r="B19" t="str">
        <x:v>PH-BED-MED-GRY</x:v>
      </x:c>
      <x:c r="C19" t="str">
        <x:v>PawHaus Orthopedic Dog Bed Medium Grey</x:v>
      </x:c>
      <x:c r="D19" s="15" t="n">
        <x:v>4900.860000000001</x:v>
      </x:c>
      <x:c r="E19" s="15" t="n">
        <x:v>124.7</x:v>
      </x:c>
      <x:c r="F19" s="15" t="n">
        <x:f>D19-E19</x:f>
        <x:v>4776.160000000001</x:v>
      </x:c>
      <x:c r="G19" s="15" t="n">
        <x:v>726.58</x:v>
      </x:c>
      <x:c r="H19" s="15" t="n">
        <x:v>1512.8</x:v>
      </x:c>
      <x:c r="I19" s="17" t="n">
        <x:v>114</x:v>
      </x:c>
      <x:c r="J19" s="16" t="n">
        <x:v>19.695999999999998</x:v>
      </x:c>
      <x:c r="K19" t="str">
        <x:v>PO WAC</x:v>
      </x:c>
      <x:c r="L19" s="15" t="n">
        <x:f>I19*J19</x:f>
        <x:v>2245.3439999999996</x:v>
      </x:c>
      <x:c r="M19" s="15" t="n">
        <x:f>F19-G19-H19-L19</x:f>
        <x:v>291.43600000000106</x:v>
      </x:c>
      <x:c r="N19" s="18" t="n">
        <x:f>IFERROR(M19/F19,0)</x:f>
        <x:v>0.06101889383940258</x:v>
      </x:c>
    </x:row>
    <x:row r="20">
      <x:c r="A20" t="str">
        <x:v>PawHaus</x:v>
      </x:c>
      <x:c r="B20" t="str">
        <x:v>PH-TOY-ROPE-L</x:v>
      </x:c>
      <x:c r="C20" t="str">
        <x:v>PawHaus Braided Rope Toy Large</x:v>
      </x:c>
      <x:c r="D20" s="15" t="n">
        <x:v>2909.92</x:v>
      </x:c>
      <x:c r="E20" s="15" t="n">
        <x:v>93.78999999999999</x:v>
      </x:c>
      <x:c r="F20" s="15" t="n">
        <x:f>D20-E20</x:f>
        <x:v>2816.13</x:v>
      </x:c>
      <x:c r="G20" s="15" t="n">
        <x:v>426.01</x:v>
      </x:c>
      <x:c r="H20" s="15" t="n">
        <x:v>810</x:v>
      </x:c>
      <x:c r="I20" s="17" t="n">
        <x:v>208</x:v>
      </x:c>
      <x:c r="J20" s="16" t="n">
        <x:v>6.747915824915824</x:v>
      </x:c>
      <x:c r="K20" t="str">
        <x:v>IMPUTED - REVIEW</x:v>
      </x:c>
      <x:c r="L20" s="15" t="n">
        <x:f>I20*J20</x:f>
        <x:v>1403.5664915824914</x:v>
      </x:c>
      <x:c r="M20" s="15" t="n">
        <x:f>F20-G20-H20-L20</x:f>
        <x:v>176.5535084175085</x:v>
      </x:c>
      <x:c r="N20" s="18" t="n">
        <x:f>IFERROR(M20/F20,0)</x:f>
        <x:v>0.0626936641481425</x:v>
      </x:c>
    </x:row>
    <x:row r="21">
      <x:c r="A21" t="str">
        <x:v>Peak Fuel</x:v>
      </x:c>
      <x:c r="B21" t="str">
        <x:v>PF-WHEY-CHOC</x:v>
      </x:c>
      <x:c r="C21" t="str">
        <x:v>Peak Fuel Whey Protein Chocolate 2lb</x:v>
      </x:c>
      <x:c r="D21" s="15" t="n">
        <x:v>17861.030000000002</x:v>
      </x:c>
      <x:c r="E21" s="15" t="n">
        <x:v>490.48</x:v>
      </x:c>
      <x:c r="F21" s="15" t="n">
        <x:f>D21-E21</x:f>
        <x:v>17370.550000000003</x:v>
      </x:c>
      <x:c r="G21" s="15" t="n">
        <x:v>2623.93</x:v>
      </x:c>
      <x:c r="H21" s="15" t="n">
        <x:v>2507.1</x:v>
      </x:c>
      <x:c r="I21" s="17" t="n">
        <x:v>397</x:v>
      </x:c>
      <x:c r="J21" s="16" t="n">
        <x:v>14.196</x:v>
      </x:c>
      <x:c r="K21" t="str">
        <x:v>PO WAC</x:v>
      </x:c>
      <x:c r="L21" s="15" t="n">
        <x:f>I21*J21</x:f>
        <x:v>5635.812</x:v>
      </x:c>
      <x:c r="M21" s="15" t="n">
        <x:f>F21-G21-H21-L21</x:f>
        <x:v>6603.708000000002</x:v>
      </x:c>
      <x:c r="N21" s="18" t="n">
        <x:f>IFERROR(M21/F21,0)</x:f>
        <x:v>0.38016689166434</x:v>
      </x:c>
    </x:row>
    <x:row r="22">
      <x:c r="A22" t="str">
        <x:v>Peak Fuel</x:v>
      </x:c>
      <x:c r="B22" t="str">
        <x:v>PF-CREATINE-300</x:v>
      </x:c>
      <x:c r="C22" t="str">
        <x:v>Peak Fuel Creatine Monohydrate 300g</x:v>
      </x:c>
      <x:c r="D22" s="15" t="n">
        <x:v>10270.89</x:v>
      </x:c>
      <x:c r="E22" s="15" t="n">
        <x:v>212.5</x:v>
      </x:c>
      <x:c r="F22" s="15" t="n">
        <x:f>D22-E22</x:f>
        <x:v>10058.39</x:v>
      </x:c>
      <x:c r="G22" s="15" t="n">
        <x:v>1519.67</x:v>
      </x:c>
      <x:c r="H22" s="15" t="n">
        <x:v>1721.25</x:v>
      </x:c>
      <x:c r="I22" s="17" t="n">
        <x:v>411</x:v>
      </x:c>
      <x:c r="J22" s="16" t="n">
        <x:v>5.598000000000001</x:v>
      </x:c>
      <x:c r="K22" t="str">
        <x:v>PO WAC</x:v>
      </x:c>
      <x:c r="L22" s="15" t="n">
        <x:f>I22*J22</x:f>
        <x:v>2300.7780000000002</x:v>
      </x:c>
      <x:c r="M22" s="15" t="n">
        <x:f>F22-G22-H22-L22</x:f>
        <x:v>4516.691999999999</x:v>
      </x:c>
      <x:c r="N22" s="18" t="n">
        <x:f>IFERROR(M22/F22,0)</x:f>
        <x:v>0.44904721332141617</x:v>
      </x:c>
    </x:row>
    <x:row r="23">
      <x:c r="A23" t="str">
        <x:v>Peak Fuel</x:v>
      </x:c>
      <x:c r="B23" t="str">
        <x:v>PF-WHEY-VAN</x:v>
      </x:c>
      <x:c r="C23" t="str">
        <x:v>Peak Fuel Whey Protein Vanilla 2lb</x:v>
      </x:c>
      <x:c r="D23" s="15" t="n">
        <x:v>11112.53</x:v>
      </x:c>
      <x:c r="E23" s="15" t="n">
        <x:v>297</x:v>
      </x:c>
      <x:c r="F23" s="15" t="n">
        <x:f>D23-E23</x:f>
        <x:v>10815.53</x:v>
      </x:c>
      <x:c r="G23" s="15" t="n">
        <x:v>1623.94</x:v>
      </x:c>
      <x:c r="H23" s="15" t="n">
        <x:v>1512.8</x:v>
      </x:c>
      <x:c r="I23" s="17" t="n">
        <x:v>247</x:v>
      </x:c>
      <x:c r="J23" s="16" t="n">
        <x:v>14.196000000000002</x:v>
      </x:c>
      <x:c r="K23" t="str">
        <x:v>PO WAC</x:v>
      </x:c>
      <x:c r="L23" s="15" t="n">
        <x:f>I23*J23</x:f>
        <x:v>3506.4120000000003</x:v>
      </x:c>
      <x:c r="M23" s="15" t="n">
        <x:f>F23-G23-H23-L23</x:f>
        <x:v>4172.378</x:v>
      </x:c>
      <x:c r="N23" s="18" t="n">
        <x:f>IFERROR(M23/F23,0)</x:f>
        <x:v>0.38577656388544984</x:v>
      </x:c>
    </x:row>
    <x:row r="24">
      <x:c r="A24" t="str">
        <x:v>Peak Fuel</x:v>
      </x:c>
      <x:c r="B24" t="str">
        <x:v>PF-PREWKT-BERRY</x:v>
      </x:c>
      <x:c r="C24" t="str">
        <x:v>Peak Fuel Pre-Workout Mixed Berry 30srv</x:v>
      </x:c>
      <x:c r="D24" s="15" t="n">
        <x:v>6532.02</x:v>
      </x:c>
      <x:c r="E24" s="15" t="n">
        <x:v>198</x:v>
      </x:c>
      <x:c r="F24" s="15" t="n">
        <x:f>D24-E24</x:f>
        <x:v>6334.02</x:v>
      </x:c>
      <x:c r="G24" s="15" t="n">
        <x:v>956.99</x:v>
      </x:c>
      <x:c r="H24" s="15" t="n">
        <x:v>891.7499999999999</x:v>
      </x:c>
      <x:c r="I24" s="17" t="n">
        <x:v>198</x:v>
      </x:c>
      <x:c r="J24" s="16" t="n">
        <x:v>8.902</x:v>
      </x:c>
      <x:c r="K24" t="str">
        <x:v>PO WAC</x:v>
      </x:c>
      <x:c r="L24" s="15" t="n">
        <x:f>I24*J24</x:f>
        <x:v>1762.5959999999998</x:v>
      </x:c>
      <x:c r="M24" s="15" t="n">
        <x:f>F24-G24-H24-L24</x:f>
        <x:v>2722.684000000001</x:v>
      </x:c>
      <x:c r="N24" s="18" t="n">
        <x:f>IFERROR(M24/F24,0)</x:f>
        <x:v>0.42985086880054074</x:v>
      </x:c>
    </x:row>
    <x:row r="25">
      <x:c r="A25" t="str">
        <x:v>Peak Fuel</x:v>
      </x:c>
      <x:c r="B25" t="str">
        <x:v>PF-BCAA-LEMON</x:v>
      </x:c>
      <x:c r="C25" t="str">
        <x:v>Peak Fuel BCAA Lemon Lime 40srv</x:v>
      </x:c>
      <x:c r="D25" s="15" t="n">
        <x:v>3162.87</x:v>
      </x:c>
      <x:c r="E25" s="15" t="n">
        <x:v>86.8</x:v>
      </x:c>
      <x:c r="F25" s="15" t="n">
        <x:f>D25-E25</x:f>
        <x:v>3076.0699999999997</x:v>
      </x:c>
      <x:c r="G25" s="15" t="n">
        <x:v>464.1</x:v>
      </x:c>
      <x:c r="H25" s="15" t="n">
        <x:v>487.2</x:v>
      </x:c>
      <x:c r="I25" s="17" t="n">
        <x:v>113</x:v>
      </x:c>
      <x:c r="J25" s="16" t="n">
        <x:v>7.098</x:v>
      </x:c>
      <x:c r="K25" t="str">
        <x:v>PO WAC</x:v>
      </x:c>
      <x:c r="L25" s="15" t="n">
        <x:f>I25*J25</x:f>
        <x:v>802.074</x:v>
      </x:c>
      <x:c r="M25" s="15" t="n">
        <x:f>F25-G25-H25-L25</x:f>
        <x:v>1322.696</x:v>
      </x:c>
      <x:c r="N25" s="18" t="n">
        <x:f>IFERROR(M25/F25,0)</x:f>
        <x:v>0.42999541622914955</x:v>
      </x:c>
    </x:row>
    <x:row r="26">
      <x:c r="A26" t="str">
        <x:v>Peak Fuel</x:v>
      </x:c>
      <x:c r="B26" t="str">
        <x:v>PF-VEGAN-CHOC</x:v>
      </x:c>
      <x:c r="C26" t="str">
        <x:v>Peak Fuel Vegan Protein Chocolate 2lb</x:v>
      </x:c>
      <x:c r="D26" s="15" t="n">
        <x:v>3479.13</x:v>
      </x:c>
      <x:c r="E26" s="15" t="n">
        <x:v>76</x:v>
      </x:c>
      <x:c r="F26" s="15" t="n">
        <x:f>D26-E26</x:f>
        <x:v>3403.13</x:v>
      </x:c>
      <x:c r="G26" s="15" t="n">
        <x:v>515.16</x:v>
      </x:c>
      <x:c r="H26" s="15" t="n">
        <x:v>555.1</x:v>
      </x:c>
      <x:c r="I26" s="17" t="n">
        <x:v>87</x:v>
      </x:c>
      <x:c r="J26" s="16" t="n">
        <x:v>15.804000000000002</x:v>
      </x:c>
      <x:c r="K26" t="str">
        <x:v>PO WAC</x:v>
      </x:c>
      <x:c r="L26" s="15" t="n">
        <x:f>I26*J26</x:f>
        <x:v>1374.948</x:v>
      </x:c>
      <x:c r="M26" s="15" t="n">
        <x:f>F26-G26-H26-L26</x:f>
        <x:v>957.9220000000003</x:v>
      </x:c>
      <x:c r="N26" s="18" t="n">
        <x:f>IFERROR(M26/F26,0)</x:f>
        <x:v>0.28148263510356647</x:v>
      </x:c>
    </x:row>
    <x:row r="27">
      <x:c r="A27" t="str">
        <x:v>Peak Fuel</x:v>
      </x:c>
      <x:c r="B27" t="str">
        <x:v>PF-ELECTRO-CIT</x:v>
      </x:c>
      <x:c r="C27" t="str">
        <x:v>Peak Fuel Electrolyte Powder Citrus 60srv</x:v>
      </x:c>
      <x:c r="D27" s="15" t="n">
        <x:v>2616.81</x:v>
      </x:c>
      <x:c r="E27" s="15" t="n">
        <x:v>57.2</x:v>
      </x:c>
      <x:c r="F27" s="15" t="n">
        <x:f>D27-E27</x:f>
        <x:v>2559.61</x:v>
      </x:c>
      <x:c r="G27" s="15" t="n">
        <x:v>386.09999999999997</x:v>
      </x:c>
      <x:c r="H27" s="15" t="n">
        <x:v>481.90000000000003</x:v>
      </x:c>
      <x:c r="I27" s="17" t="n">
        <x:v>119</x:v>
      </x:c>
      <x:c r="J27" s="16" t="n">
        <x:v>6.402</x:v>
      </x:c>
      <x:c r="K27" t="str">
        <x:v>PO WAC</x:v>
      </x:c>
      <x:c r="L27" s="15" t="n">
        <x:f>I27*J27</x:f>
        <x:v>761.838</x:v>
      </x:c>
      <x:c r="M27" s="15" t="n">
        <x:f>F27-G27-H27-L27</x:f>
        <x:v>929.7720000000002</x:v>
      </x:c>
      <x:c r="N27" s="18" t="n">
        <x:f>IFERROR(M27/F27,0)</x:f>
        <x:v>0.36324752599028765</x:v>
      </x:c>
    </x:row>
    <x:row r="28">
      <x:c r="A28" t="str">
        <x:v>Peak Fuel</x:v>
      </x:c>
      <x:c r="B28" t="str">
        <x:v>PF-SHAKER-28</x:v>
      </x:c>
      <x:c r="C28" t="str">
        <x:v>Peak Fuel Shaker Bottle 28oz</x:v>
      </x:c>
      <x:c r="D28" s="15" t="n">
        <x:v>2078.4</x:v>
      </x:c>
      <x:c r="E28" s="15" t="n">
        <x:v>39</x:v>
      </x:c>
      <x:c r="F28" s="15" t="n">
        <x:f>D28-E28</x:f>
        <x:v>2039.4</x:v>
      </x:c>
      <x:c r="G28" s="15" t="n">
        <x:v>307.21</x:v>
      </x:c>
      <x:c r="H28" s="15" t="n">
        <x:v>562.35</x:v>
      </x:c>
      <x:c r="I28" s="17" t="n">
        <x:v>160</x:v>
      </x:c>
      <x:c r="J28" s="16" t="n">
        <x:v>2.3040000000000003</x:v>
      </x:c>
      <x:c r="K28" t="str">
        <x:v>PO WAC</x:v>
      </x:c>
      <x:c r="L28" s="15" t="n">
        <x:f>I28*J28</x:f>
        <x:v>368.64000000000004</x:v>
      </x:c>
      <x:c r="M28" s="15" t="n">
        <x:f>F28-G28-H28-L28</x:f>
        <x:v>801.2</x:v>
      </x:c>
      <x:c r="N28" s="18" t="n">
        <x:f>IFERROR(M28/F28,0)</x:f>
        <x:v>0.39286064528782977</x:v>
      </x:c>
    </x:row>
  </x:sheetData>
  <x:mergeCells>
    <x:mergeCell ref="A1:N2"/>
  </x:mergeCells>
  <x:conditionalFormatting sqref="K5:K28">
    <x:cfRule type="containsText" dxfId="0" priority="1" operator="containsText" text="IMPUTED"/>
  </x:conditionalFormatting>
  <x:conditionalFormatting sqref="N5:N28">
    <x:cfRule type="colorScale" priority="2">
      <x:colorScale>
        <x:cfvo type="min"/>
        <x:cfvo type="percentile" val="50"/>
        <x:cfvo type="max"/>
        <x:color rgb="FFFECACA"/>
        <x:color rgb="FFFEF3C7"/>
        <x:color rgb="FFD1FAE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ad61b3be8c4c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42" hidden="0" customWidth="1"/>
    <x:col min="4" max="4" width="12" hidden="0" customWidth="1"/>
    <x:col min="5" max="5" width="11" hidden="0" customWidth="1"/>
    <x:col min="6" max="6" width="14" hidden="0" customWidth="1"/>
    <x:col min="7" max="7" width="10" hidden="0" customWidth="1"/>
    <x:col min="8" max="8" width="12" hidden="0" customWidth="1"/>
    <x:col min="9" max="9" width="14" hidden="0" customWidth="1"/>
    <x:col min="10" max="10" width="15" hidden="0" customWidth="1"/>
    <x:col min="11" max="11" width="17" hidden="0" customWidth="1"/>
    <x:col min="12" max="12" width="14" hidden="0" customWidth="1"/>
    <x:col min="13" max="13" width="12" hidden="0" customWidth="1"/>
    <x:col min="14" max="14" width="16" hidden="0" customWidth="1"/>
    <x:col min="15" max="15" width="22" hidden="0" customWidth="1"/>
  </x:cols>
  <x:sheetData>
    <x:row r="1">
      <x:c r="A1" s="3" t="str">
        <x:v>Inventory Health | Snapshot 2026-06-30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 t="str">
        <x:v>Demand proxy = Q2 net units / 91 days; inbound is shown separately and is not treated as received</x:v>
      </x:c>
    </x:row>
    <x:row r="4" ht="30" customHeight="1">
      <x:c r="A4" s="12" t="str">
        <x:v>Brand</x:v>
      </x:c>
      <x:c r="B4" s="13" t="str">
        <x:v>Canonical SKU</x:v>
      </x:c>
      <x:c r="C4" s="13" t="str">
        <x:v>Product</x:v>
      </x:c>
      <x:c r="D4" s="13" t="str">
        <x:v>Fulfillable</x:v>
      </x:c>
      <x:c r="E4" s="13" t="str">
        <x:v>Reserved</x:v>
      </x:c>
      <x:c r="F4" s="13" t="str">
        <x:v>Unfulfillable</x:v>
      </x:c>
      <x:c r="G4" s="13" t="str">
        <x:v>Inbound</x:v>
      </x:c>
      <x:c r="H4" s="13" t="str">
        <x:v>Q2 Net Units</x:v>
      </x:c>
      <x:c r="I4" s="13" t="str">
        <x:v>Daily Net Units</x:v>
      </x:c>
      <x:c r="J4" s="13" t="str">
        <x:v>Fulfillable Days</x:v>
      </x:c>
      <x:c r="K4" s="13" t="str">
        <x:v>Days incl. Inbound</x:v>
      </x:c>
      <x:c r="L4" s="13" t="str">
        <x:v>Unfulfillable %</x:v>
      </x:c>
      <x:c r="M4" s="13" t="str">
        <x:v>Unit Cost</x:v>
      </x:c>
      <x:c r="N4" s="13" t="str">
        <x:v>Fulfillable Value</x:v>
      </x:c>
      <x:c r="O4" s="14" t="str">
        <x:v>Action</x:v>
      </x:c>
    </x:row>
    <x:row r="5">
      <x:c r="A5" t="str">
        <x:v>Peak Fuel</x:v>
      </x:c>
      <x:c r="B5" t="str">
        <x:v>PF-WHEY-CHOC</x:v>
      </x:c>
      <x:c r="C5" t="str">
        <x:v>Peak Fuel Whey Protein Chocolate 2lb</x:v>
      </x:c>
      <x:c r="D5" s="17" t="n">
        <x:v>205</x:v>
      </x:c>
      <x:c r="E5" s="17" t="n">
        <x:v>34</x:v>
      </x:c>
      <x:c r="F5" s="17" t="n">
        <x:v>1</x:v>
      </x:c>
      <x:c r="G5" s="17" t="n">
        <x:v>0</x:v>
      </x:c>
      <x:c r="H5" s="17" t="n">
        <x:v>397</x:v>
      </x:c>
      <x:c r="I5" s="30" t="n">
        <x:f>H5/91</x:f>
        <x:v>4.362637362637362</x:v>
      </x:c>
      <x:c r="J5" s="30" t="n">
        <x:f>IFERROR(D5/I5,0)</x:f>
        <x:v>46.98992443324938</x:v>
      </x:c>
      <x:c r="K5" s="30" t="n">
        <x:f>IFERROR((D5+G5)/I5,0)</x:f>
        <x:v>46.98992443324938</x:v>
      </x:c>
      <x:c r="L5" s="18" t="n">
        <x:f>IFERROR(F5/(D5+E5+F5),0)</x:f>
        <x:v>0.004166666666666667</x:v>
      </x:c>
      <x:c r="M5" s="15" t="n">
        <x:v>14.196</x:v>
      </x:c>
      <x:c r="N5" s="15" t="n">
        <x:f>D5*M5</x:f>
        <x:v>2910.18</x:v>
      </x:c>
      <x:c r="O5" t="str">
        <x:v>EXPEDITE / REORDER</x:v>
      </x:c>
    </x:row>
    <x:row r="6">
      <x:c r="A6" t="str">
        <x:v>GlowTheory</x:v>
      </x:c>
      <x:c r="B6" t="str">
        <x:v>GT-SERUM-VITC</x:v>
      </x:c>
      <x:c r="C6" t="str">
        <x:v>GlowTheory Vitamin C Serum 30ml</x:v>
      </x:c>
      <x:c r="D6" s="17" t="n">
        <x:v>299</x:v>
      </x:c>
      <x:c r="E6" s="17" t="n">
        <x:v>58</x:v>
      </x:c>
      <x:c r="F6" s="17" t="n">
        <x:v>4</x:v>
      </x:c>
      <x:c r="G6" s="17" t="n">
        <x:v>0</x:v>
      </x:c>
      <x:c r="H6" s="17" t="n">
        <x:v>487</x:v>
      </x:c>
      <x:c r="I6" s="30" t="n">
        <x:f>H6/91</x:f>
        <x:v>5.351648351648351</x:v>
      </x:c>
      <x:c r="J6" s="30" t="n">
        <x:f>IFERROR(D6/I6,0)</x:f>
        <x:v>55.870636550308014</x:v>
      </x:c>
      <x:c r="K6" s="30" t="n">
        <x:f>IFERROR((D6+G6)/I6,0)</x:f>
        <x:v>55.870636550308014</x:v>
      </x:c>
      <x:c r="L6" s="18" t="n">
        <x:f>IFERROR(F6/(D6+E6+F6),0)</x:f>
        <x:v>0.0110803324099723</x:v>
      </x:c>
      <x:c r="M6" s="15" t="n">
        <x:v>4.804</x:v>
      </x:c>
      <x:c r="N6" s="15" t="n">
        <x:f>D6*M6</x:f>
        <x:v>1436.3960000000002</x:v>
      </x:c>
      <x:c r="O6" t="str">
        <x:v>EXPEDITE / REORDER</x:v>
      </x:c>
    </x:row>
    <x:row r="7">
      <x:c r="A7" t="str">
        <x:v>PawHaus</x:v>
      </x:c>
      <x:c r="B7" t="str">
        <x:v>PH-CHEW-BULLY-6</x:v>
      </x:c>
      <x:c r="C7" t="str">
        <x:v>PawHaus Bully Stick Chews 6in 8pk</x:v>
      </x:c>
      <x:c r="D7" s="17" t="n">
        <x:v>428</x:v>
      </x:c>
      <x:c r="E7" s="17" t="n">
        <x:v>5</x:v>
      </x:c>
      <x:c r="F7" s="17" t="n">
        <x:v>4</x:v>
      </x:c>
      <x:c r="G7" s="17" t="n">
        <x:v>300</x:v>
      </x:c>
      <x:c r="H7" s="17" t="n">
        <x:v>293</x:v>
      </x:c>
      <x:c r="I7" s="30" t="n">
        <x:f>H7/91</x:f>
        <x:v>3.21978021978022</x:v>
      </x:c>
      <x:c r="J7" s="30" t="n">
        <x:f>IFERROR(D7/I7,0)</x:f>
        <x:v>132.92832764505118</x:v>
      </x:c>
      <x:c r="K7" s="30" t="n">
        <x:f>IFERROR((D7+G7)/I7,0)</x:f>
        <x:v>226.10238907849828</x:v>
      </x:c>
      <x:c r="L7" s="18" t="n">
        <x:f>IFERROR(F7/(D7+E7+F7),0)</x:f>
        <x:v>0.009153318077803204</x:v>
      </x:c>
      <x:c r="M7" s="15" t="n">
        <x:v>11.402</x:v>
      </x:c>
      <x:c r="N7" s="15" t="n">
        <x:f>D7*M7</x:f>
        <x:v>4880.056</x:v>
      </x:c>
      <x:c r="O7" t="str">
        <x:v>MONITOR</x:v>
      </x:c>
    </x:row>
    <x:row r="8">
      <x:c r="A8" t="str">
        <x:v>Peak Fuel</x:v>
      </x:c>
      <x:c r="B8" t="str">
        <x:v>PF-SHAKER-28</x:v>
      </x:c>
      <x:c r="C8" t="str">
        <x:v>Peak Fuel Shaker Bottle 28oz</x:v>
      </x:c>
      <x:c r="D8" s="17" t="n">
        <x:v>275</x:v>
      </x:c>
      <x:c r="E8" s="17" t="n">
        <x:v>18</x:v>
      </x:c>
      <x:c r="F8" s="17" t="n">
        <x:v>11</x:v>
      </x:c>
      <x:c r="G8" s="17" t="n">
        <x:v>0</x:v>
      </x:c>
      <x:c r="H8" s="17" t="n">
        <x:v>160</x:v>
      </x:c>
      <x:c r="I8" s="30" t="n">
        <x:f>H8/91</x:f>
        <x:v>1.7582417582417582</x:v>
      </x:c>
      <x:c r="J8" s="30" t="n">
        <x:f>IFERROR(D8/I8,0)</x:f>
        <x:v>156.40625</x:v>
      </x:c>
      <x:c r="K8" s="30" t="n">
        <x:f>IFERROR((D8+G8)/I8,0)</x:f>
        <x:v>156.40625</x:v>
      </x:c>
      <x:c r="L8" s="18" t="n">
        <x:f>IFERROR(F8/(D8+E8+F8),0)</x:f>
        <x:v>0.03618421052631579</x:v>
      </x:c>
      <x:c r="M8" s="15" t="n">
        <x:v>2.3040000000000003</x:v>
      </x:c>
      <x:c r="N8" s="15" t="n">
        <x:f>D8*M8</x:f>
        <x:v>633.6</x:v>
      </x:c>
      <x:c r="O8" t="str">
        <x:v>MONITOR</x:v>
      </x:c>
    </x:row>
    <x:row r="9">
      <x:c r="A9" t="str">
        <x:v>GlowTheory</x:v>
      </x:c>
      <x:c r="B9" t="str">
        <x:v>GT-MOIST-50ML</x:v>
      </x:c>
      <x:c r="C9" t="str">
        <x:v>GlowTheory Daily Moisturizer 50ml</x:v>
      </x:c>
      <x:c r="D9" s="17" t="n">
        <x:v>520</x:v>
      </x:c>
      <x:c r="E9" s="17" t="n">
        <x:v>29</x:v>
      </x:c>
      <x:c r="F9" s="17" t="n">
        <x:v>10</x:v>
      </x:c>
      <x:c r="G9" s="17" t="n">
        <x:v>0</x:v>
      </x:c>
      <x:c r="H9" s="17" t="n">
        <x:v>242</x:v>
      </x:c>
      <x:c r="I9" s="30" t="n">
        <x:f>H9/91</x:f>
        <x:v>2.659340659340659</x:v>
      </x:c>
      <x:c r="J9" s="30" t="n">
        <x:f>IFERROR(D9/I9,0)</x:f>
        <x:v>195.53719008264463</x:v>
      </x:c>
      <x:c r="K9" s="30" t="n">
        <x:f>IFERROR((D9+G9)/I9,0)</x:f>
        <x:v>195.53719008264463</x:v>
      </x:c>
      <x:c r="L9" s="18" t="n">
        <x:f>IFERROR(F9/(D9+E9+F9),0)</x:f>
        <x:v>0.017889087656529516</x:v>
      </x:c>
      <x:c r="M9" s="15" t="n">
        <x:v>5.196000000000001</x:v>
      </x:c>
      <x:c r="N9" s="15" t="n">
        <x:f>D9*M9</x:f>
        <x:v>2701.9200000000005</x:v>
      </x:c>
      <x:c r="O9" t="str">
        <x:v>MONITOR</x:v>
      </x:c>
    </x:row>
    <x:row r="10">
      <x:c r="A10" t="str">
        <x:v>GlowTheory</x:v>
      </x:c>
      <x:c r="B10" t="str">
        <x:v>GT-SERUM-HA</x:v>
      </x:c>
      <x:c r="C10" t="str">
        <x:v>GlowTheory Hyaluronic Acid Serum 30ml</x:v>
      </x:c>
      <x:c r="D10" s="17" t="n">
        <x:v>814</x:v>
      </x:c>
      <x:c r="E10" s="17" t="n">
        <x:v>50</x:v>
      </x:c>
      <x:c r="F10" s="17" t="n">
        <x:v>8</x:v>
      </x:c>
      <x:c r="G10" s="17" t="n">
        <x:v>300</x:v>
      </x:c>
      <x:c r="H10" s="17" t="n">
        <x:v>376</x:v>
      </x:c>
      <x:c r="I10" s="30" t="n">
        <x:f>H10/91</x:f>
        <x:v>4.131868131868132</x:v>
      </x:c>
      <x:c r="J10" s="30" t="n">
        <x:f>IFERROR(D10/I10,0)</x:f>
        <x:v>197.00531914893614</x:v>
      </x:c>
      <x:c r="K10" s="30" t="n">
        <x:f>IFERROR((D10+G10)/I10,0)</x:f>
        <x:v>269.61170212765956</x:v>
      </x:c>
      <x:c r="L10" s="18" t="n">
        <x:f>IFERROR(F10/(D10+E10+F10),0)</x:f>
        <x:v>0.009174311926605505</x:v>
      </x:c>
      <x:c r="M10" s="15" t="n">
        <x:v>4.098</x:v>
      </x:c>
      <x:c r="N10" s="15" t="n">
        <x:f>D10*M10</x:f>
        <x:v>3335.772</x:v>
      </x:c>
      <x:c r="O10" t="str">
        <x:v>MONITOR</x:v>
      </x:c>
    </x:row>
    <x:row r="11">
      <x:c r="A11" t="str">
        <x:v>PawHaus</x:v>
      </x:c>
      <x:c r="B11" t="str">
        <x:v>PH-DENTAL-30CT</x:v>
      </x:c>
      <x:c r="C11" t="str">
        <x:v>PawHaus Dental Chews 30ct</x:v>
      </x:c>
      <x:c r="D11" s="17" t="n">
        <x:v>596</x:v>
      </x:c>
      <x:c r="E11" s="17" t="n">
        <x:v>38</x:v>
      </x:c>
      <x:c r="F11" s="17" t="n">
        <x:v>2</x:v>
      </x:c>
      <x:c r="G11" s="17" t="n">
        <x:v>300</x:v>
      </x:c>
      <x:c r="H11" s="17" t="n">
        <x:v>260</x:v>
      </x:c>
      <x:c r="I11" s="30" t="n">
        <x:f>H11/91</x:f>
        <x:v>2.857142857142857</x:v>
      </x:c>
      <x:c r="J11" s="30" t="n">
        <x:f>IFERROR(D11/I11,0)</x:f>
        <x:v>208.6</x:v>
      </x:c>
      <x:c r="K11" s="30" t="n">
        <x:f>IFERROR((D11+G11)/I11,0)</x:f>
        <x:v>313.59999999999997</x:v>
      </x:c>
      <x:c r="L11" s="18" t="n">
        <x:f>IFERROR(F11/(D11+E11+F11),0)</x:f>
        <x:v>0.0031446540880503146</x:v>
      </x:c>
      <x:c r="M11" s="15" t="n">
        <x:v>7.299831649831649</x:v>
      </x:c>
      <x:c r="N11" s="15" t="n">
        <x:f>D11*M11</x:f>
        <x:v>4350.6996632996625</x:v>
      </x:c>
      <x:c r="O11" t="str">
        <x:v>MONITOR</x:v>
      </x:c>
    </x:row>
    <x:row r="12">
      <x:c r="A12" t="str">
        <x:v>PawHaus</x:v>
      </x:c>
      <x:c r="B12" t="str">
        <x:v>PH-TREAT-SALMON</x:v>
      </x:c>
      <x:c r="C12" t="str">
        <x:v>PawHaus Salmon Training Treats 16oz</x:v>
      </x:c>
      <x:c r="D12" s="17" t="n">
        <x:v>922</x:v>
      </x:c>
      <x:c r="E12" s="17" t="n">
        <x:v>48</x:v>
      </x:c>
      <x:c r="F12" s="17" t="n">
        <x:v>10</x:v>
      </x:c>
      <x:c r="G12" s="17" t="n">
        <x:v>0</x:v>
      </x:c>
      <x:c r="H12" s="17" t="n">
        <x:v>394</x:v>
      </x:c>
      <x:c r="I12" s="30" t="n">
        <x:f>H12/91</x:f>
        <x:v>4.329670329670329</x:v>
      </x:c>
      <x:c r="J12" s="30" t="n">
        <x:f>IFERROR(D12/I12,0)</x:f>
        <x:v>212.94923857868022</x:v>
      </x:c>
      <x:c r="K12" s="30" t="n">
        <x:f>IFERROR((D12+G12)/I12,0)</x:f>
        <x:v>212.94923857868022</x:v>
      </x:c>
      <x:c r="L12" s="18" t="n">
        <x:f>IFERROR(F12/(D12+E12+F12),0)</x:f>
        <x:v>0.01020408163265306</x:v>
      </x:c>
      <x:c r="M12" s="15" t="n">
        <x:v>6.196</x:v>
      </x:c>
      <x:c r="N12" s="15" t="n">
        <x:f>D12*M12</x:f>
        <x:v>5712.7119999999995</x:v>
      </x:c>
      <x:c r="O12" t="str">
        <x:v>MONITOR</x:v>
      </x:c>
    </x:row>
    <x:row r="13">
      <x:c r="A13" t="str">
        <x:v>Peak Fuel</x:v>
      </x:c>
      <x:c r="B13" t="str">
        <x:v>PF-CREATINE-300</x:v>
      </x:c>
      <x:c r="C13" t="str">
        <x:v>Peak Fuel Creatine Monohydrate 300g</x:v>
      </x:c>
      <x:c r="D13" s="17" t="n">
        <x:v>1134</x:v>
      </x:c>
      <x:c r="E13" s="17" t="n">
        <x:v>39</x:v>
      </x:c>
      <x:c r="F13" s="17" t="n">
        <x:v>12</x:v>
      </x:c>
      <x:c r="G13" s="17" t="n">
        <x:v>1000</x:v>
      </x:c>
      <x:c r="H13" s="17" t="n">
        <x:v>411</x:v>
      </x:c>
      <x:c r="I13" s="30" t="n">
        <x:f>H13/91</x:f>
        <x:v>4.516483516483516</x:v>
      </x:c>
      <x:c r="J13" s="30" t="n">
        <x:f>IFERROR(D13/I13,0)</x:f>
        <x:v>251.08029197080293</x:v>
      </x:c>
      <x:c r="K13" s="30" t="n">
        <x:f>IFERROR((D13+G13)/I13,0)</x:f>
        <x:v>472.49148418491484</x:v>
      </x:c>
      <x:c r="L13" s="18" t="n">
        <x:f>IFERROR(F13/(D13+E13+F13),0)</x:f>
        <x:v>0.010126582278481013</x:v>
      </x:c>
      <x:c r="M13" s="15" t="n">
        <x:v>5.598000000000001</x:v>
      </x:c>
      <x:c r="N13" s="15" t="n">
        <x:f>D13*M13</x:f>
        <x:v>6348.1320000000005</x:v>
      </x:c>
      <x:c r="O13" t="str">
        <x:v>MONITOR</x:v>
      </x:c>
    </x:row>
    <x:row r="14">
      <x:c r="A14" t="str">
        <x:v>PawHaus</x:v>
      </x:c>
      <x:c r="B14" t="str">
        <x:v>PH-BRUSH-DBL</x:v>
      </x:c>
      <x:c r="C14" t="str">
        <x:v>PawHaus Double-Sided Grooming Brush</x:v>
      </x:c>
      <x:c r="D14" s="17" t="n">
        <x:v>433</x:v>
      </x:c>
      <x:c r="E14" s="17" t="n">
        <x:v>27</x:v>
      </x:c>
      <x:c r="F14" s="17" t="n">
        <x:v>11</x:v>
      </x:c>
      <x:c r="G14" s="17" t="n">
        <x:v>500</x:v>
      </x:c>
      <x:c r="H14" s="17" t="n">
        <x:v>143</x:v>
      </x:c>
      <x:c r="I14" s="30" t="n">
        <x:f>H14/91</x:f>
        <x:v>1.5714285714285714</x:v>
      </x:c>
      <x:c r="J14" s="30" t="n">
        <x:f>IFERROR(D14/I14,0)</x:f>
        <x:v>275.54545454545456</x:v>
      </x:c>
      <x:c r="K14" s="30" t="n">
        <x:f>IFERROR((D14+G14)/I14,0)</x:f>
        <x:v>593.7272727272727</x:v>
      </x:c>
      <x:c r="L14" s="18" t="n">
        <x:f>IFERROR(F14/(D14+E14+F14),0)</x:f>
        <x:v>0.02335456475583864</x:v>
      </x:c>
      <x:c r="M14" s="15" t="n">
        <x:v>2.5980000000000003</x:v>
      </x:c>
      <x:c r="N14" s="15" t="n">
        <x:f>D14*M14</x:f>
        <x:v>1124.9340000000002</x:v>
      </x:c>
      <x:c r="O14" t="str">
        <x:v>MONITOR</x:v>
      </x:c>
    </x:row>
    <x:row r="15">
      <x:c r="A15" t="str">
        <x:v>GlowTheory</x:v>
      </x:c>
      <x:c r="B15" t="str">
        <x:v>GT-EYE-CREAM</x:v>
      </x:c>
      <x:c r="C15" t="str">
        <x:v>GlowTheory Restorative Eye Cream 15ml</x:v>
      </x:c>
      <x:c r="D15" s="17" t="n">
        <x:v>452</x:v>
      </x:c>
      <x:c r="E15" s="17" t="n">
        <x:v>33</x:v>
      </x:c>
      <x:c r="F15" s="17" t="n">
        <x:v>6</x:v>
      </x:c>
      <x:c r="G15" s="17" t="n">
        <x:v>0</x:v>
      </x:c>
      <x:c r="H15" s="17" t="n">
        <x:v>121</x:v>
      </x:c>
      <x:c r="I15" s="30" t="n">
        <x:f>H15/91</x:f>
        <x:v>1.3296703296703296</x:v>
      </x:c>
      <x:c r="J15" s="30" t="n">
        <x:f>IFERROR(D15/I15,0)</x:f>
        <x:v>339.93388429752065</x:v>
      </x:c>
      <x:c r="K15" s="30" t="n">
        <x:f>IFERROR((D15+G15)/I15,0)</x:f>
        <x:v>339.93388429752065</x:v>
      </x:c>
      <x:c r="L15" s="18" t="n">
        <x:f>IFERROR(F15/(D15+E15+F15),0)</x:f>
        <x:v>0.012219959266802444</x:v>
      </x:c>
      <x:c r="M15" s="15" t="n">
        <x:v>5.098</x:v>
      </x:c>
      <x:c r="N15" s="15" t="n">
        <x:f>D15*M15</x:f>
        <x:v>2304.296</x:v>
      </x:c>
      <x:c r="O15" t="str">
        <x:v>MONITOR</x:v>
      </x:c>
    </x:row>
    <x:row r="16">
      <x:c r="A16" t="str">
        <x:v>PawHaus</x:v>
      </x:c>
      <x:c r="B16" t="str">
        <x:v>PH-TOY-ROPE-L</x:v>
      </x:c>
      <x:c r="C16" t="str">
        <x:v>PawHaus Braided Rope Toy Large</x:v>
      </x:c>
      <x:c r="D16" s="17" t="n">
        <x:v>842</x:v>
      </x:c>
      <x:c r="E16" s="17" t="n">
        <x:v>18</x:v>
      </x:c>
      <x:c r="F16" s="17" t="n">
        <x:v>3</x:v>
      </x:c>
      <x:c r="G16" s="17" t="n">
        <x:v>1000</x:v>
      </x:c>
      <x:c r="H16" s="17" t="n">
        <x:v>208</x:v>
      </x:c>
      <x:c r="I16" s="30" t="n">
        <x:f>H16/91</x:f>
        <x:v>2.2857142857142856</x:v>
      </x:c>
      <x:c r="J16" s="30" t="n">
        <x:f>IFERROR(D16/I16,0)</x:f>
        <x:v>368.375</x:v>
      </x:c>
      <x:c r="K16" s="30" t="n">
        <x:f>IFERROR((D16+G16)/I16,0)</x:f>
        <x:v>805.875</x:v>
      </x:c>
      <x:c r="L16" s="18" t="n">
        <x:f>IFERROR(F16/(D16+E16+F16),0)</x:f>
        <x:v>0.0034762456546929316</x:v>
      </x:c>
      <x:c r="M16" s="15" t="n">
        <x:v>6.747915824915824</x:v>
      </x:c>
      <x:c r="N16" s="15" t="n">
        <x:f>D16*M16</x:f>
        <x:v>5681.745124579124</x:v>
      </x:c>
      <x:c r="O16" t="str">
        <x:v>SLOW-MOVER REVIEW</x:v>
      </x:c>
    </x:row>
    <x:row r="17">
      <x:c r="A17" t="str">
        <x:v>Peak Fuel</x:v>
      </x:c>
      <x:c r="B17" t="str">
        <x:v>PF-PREWKT-BERRY</x:v>
      </x:c>
      <x:c r="C17" t="str">
        <x:v>Peak Fuel Pre-Workout Mixed Berry 30srv</x:v>
      </x:c>
      <x:c r="D17" s="17" t="n">
        <x:v>936</x:v>
      </x:c>
      <x:c r="E17" s="17" t="n">
        <x:v>56</x:v>
      </x:c>
      <x:c r="F17" s="17" t="n">
        <x:v>5</x:v>
      </x:c>
      <x:c r="G17" s="17" t="n">
        <x:v>0</x:v>
      </x:c>
      <x:c r="H17" s="17" t="n">
        <x:v>198</x:v>
      </x:c>
      <x:c r="I17" s="30" t="n">
        <x:f>H17/91</x:f>
        <x:v>2.1758241758241756</x:v>
      </x:c>
      <x:c r="J17" s="30" t="n">
        <x:f>IFERROR(D17/I17,0)</x:f>
        <x:v>430.18181818181824</x:v>
      </x:c>
      <x:c r="K17" s="30" t="n">
        <x:f>IFERROR((D17+G17)/I17,0)</x:f>
        <x:v>430.18181818181824</x:v>
      </x:c>
      <x:c r="L17" s="18" t="n">
        <x:f>IFERROR(F17/(D17+E17+F17),0)</x:f>
        <x:v>0.0050150451354062184</x:v>
      </x:c>
      <x:c r="M17" s="15" t="n">
        <x:v>8.902</x:v>
      </x:c>
      <x:c r="N17" s="15" t="n">
        <x:f>D17*M17</x:f>
        <x:v>8332.271999999999</x:v>
      </x:c>
      <x:c r="O17" t="str">
        <x:v>SLOW-MOVER REVIEW</x:v>
      </x:c>
    </x:row>
    <x:row r="18">
      <x:c r="A18" t="str">
        <x:v>Peak Fuel</x:v>
      </x:c>
      <x:c r="B18" t="str">
        <x:v>PF-WHEY-VAN</x:v>
      </x:c>
      <x:c r="C18" t="str">
        <x:v>Peak Fuel Whey Protein Vanilla 2lb</x:v>
      </x:c>
      <x:c r="D18" s="17" t="n">
        <x:v>1174</x:v>
      </x:c>
      <x:c r="E18" s="17" t="n">
        <x:v>34</x:v>
      </x:c>
      <x:c r="F18" s="17" t="n">
        <x:v>0</x:v>
      </x:c>
      <x:c r="G18" s="17" t="n">
        <x:v>0</x:v>
      </x:c>
      <x:c r="H18" s="17" t="n">
        <x:v>247</x:v>
      </x:c>
      <x:c r="I18" s="30" t="n">
        <x:f>H18/91</x:f>
        <x:v>2.7142857142857144</x:v>
      </x:c>
      <x:c r="J18" s="30" t="n">
        <x:f>IFERROR(D18/I18,0)</x:f>
        <x:v>432.52631578947364</x:v>
      </x:c>
      <x:c r="K18" s="30" t="n">
        <x:f>IFERROR((D18+G18)/I18,0)</x:f>
        <x:v>432.52631578947364</x:v>
      </x:c>
      <x:c r="L18" s="18" t="n">
        <x:f>IFERROR(F18/(D18+E18+F18),0)</x:f>
        <x:v>0</x:v>
      </x:c>
      <x:c r="M18" s="15" t="n">
        <x:v>14.196000000000002</x:v>
      </x:c>
      <x:c r="N18" s="15" t="n">
        <x:f>D18*M18</x:f>
        <x:v>16666.104000000003</x:v>
      </x:c>
      <x:c r="O18" t="str">
        <x:v>SLOW-MOVER REVIEW</x:v>
      </x:c>
    </x:row>
    <x:row r="19">
      <x:c r="A19" t="str">
        <x:v>PawHaus</x:v>
      </x:c>
      <x:c r="B19" t="str">
        <x:v>PH-BED-MED-GRY</x:v>
      </x:c>
      <x:c r="C19" t="str">
        <x:v>PawHaus Orthopedic Dog Bed Medium Grey</x:v>
      </x:c>
      <x:c r="D19" s="17" t="n">
        <x:v>605</x:v>
      </x:c>
      <x:c r="E19" s="17" t="n">
        <x:v>35</x:v>
      </x:c>
      <x:c r="F19" s="17" t="n">
        <x:v>8</x:v>
      </x:c>
      <x:c r="G19" s="17" t="n">
        <x:v>300</x:v>
      </x:c>
      <x:c r="H19" s="17" t="n">
        <x:v>114</x:v>
      </x:c>
      <x:c r="I19" s="30" t="n">
        <x:f>H19/91</x:f>
        <x:v>1.2527472527472527</x:v>
      </x:c>
      <x:c r="J19" s="30" t="n">
        <x:f>IFERROR(D19/I19,0)</x:f>
        <x:v>482.93859649122805</x:v>
      </x:c>
      <x:c r="K19" s="30" t="n">
        <x:f>IFERROR((D19+G19)/I19,0)</x:f>
        <x:v>722.4122807017544</x:v>
      </x:c>
      <x:c r="L19" s="18" t="n">
        <x:f>IFERROR(F19/(D19+E19+F19),0)</x:f>
        <x:v>0.012345679012345678</x:v>
      </x:c>
      <x:c r="M19" s="15" t="n">
        <x:v>19.695999999999998</x:v>
      </x:c>
      <x:c r="N19" s="15" t="n">
        <x:f>D19*M19</x:f>
        <x:v>11916.079999999998</x:v>
      </x:c>
      <x:c r="O19" t="str">
        <x:v>SLOW-MOVER REVIEW</x:v>
      </x:c>
    </x:row>
    <x:row r="20">
      <x:c r="A20" t="str">
        <x:v>Peak Fuel</x:v>
      </x:c>
      <x:c r="B20" t="str">
        <x:v>PF-BCAA-LEMON</x:v>
      </x:c>
      <x:c r="C20" t="str">
        <x:v>Peak Fuel BCAA Lemon Lime 40srv</x:v>
      </x:c>
      <x:c r="D20" s="17" t="n">
        <x:v>620</x:v>
      </x:c>
      <x:c r="E20" s="17" t="n">
        <x:v>35</x:v>
      </x:c>
      <x:c r="F20" s="17" t="n">
        <x:v>12</x:v>
      </x:c>
      <x:c r="G20" s="17" t="n">
        <x:v>1000</x:v>
      </x:c>
      <x:c r="H20" s="17" t="n">
        <x:v>113</x:v>
      </x:c>
      <x:c r="I20" s="30" t="n">
        <x:f>H20/91</x:f>
        <x:v>1.2417582417582418</x:v>
      </x:c>
      <x:c r="J20" s="30" t="n">
        <x:f>IFERROR(D20/I20,0)</x:f>
        <x:v>499.2920353982301</x:v>
      </x:c>
      <x:c r="K20" s="30" t="n">
        <x:f>IFERROR((D20+G20)/I20,0)</x:f>
        <x:v>1304.6017699115043</x:v>
      </x:c>
      <x:c r="L20" s="18" t="n">
        <x:f>IFERROR(F20/(D20+E20+F20),0)</x:f>
        <x:v>0.017991004497751123</x:v>
      </x:c>
      <x:c r="M20" s="15" t="n">
        <x:v>7.098</x:v>
      </x:c>
      <x:c r="N20" s="15" t="n">
        <x:f>D20*M20</x:f>
        <x:v>4400.76</x:v>
      </x:c>
      <x:c r="O20" t="str">
        <x:v>SLOW-MOVER REVIEW</x:v>
      </x:c>
    </x:row>
    <x:row r="21">
      <x:c r="A21" t="str">
        <x:v>GlowTheory</x:v>
      </x:c>
      <x:c r="B21" t="str">
        <x:v>GT-SPF30-TINT</x:v>
      </x:c>
      <x:c r="C21" t="str">
        <x:v>GlowTheory Tinted SPF 30 Sunscreen 50ml</x:v>
      </x:c>
      <x:c r="D21" s="17" t="n">
        <x:v>1207</x:v>
      </x:c>
      <x:c r="E21" s="17" t="n">
        <x:v>58</x:v>
      </x:c>
      <x:c r="F21" s="17" t="n">
        <x:v>8</x:v>
      </x:c>
      <x:c r="G21" s="17" t="n">
        <x:v>0</x:v>
      </x:c>
      <x:c r="H21" s="17" t="n">
        <x:v>213</x:v>
      </x:c>
      <x:c r="I21" s="30" t="n">
        <x:f>H21/91</x:f>
        <x:v>2.340659340659341</x:v>
      </x:c>
      <x:c r="J21" s="30" t="n">
        <x:f>IFERROR(D21/I21,0)</x:f>
        <x:v>515.6666666666666</x:v>
      </x:c>
      <x:c r="K21" s="30" t="n">
        <x:f>IFERROR((D21+G21)/I21,0)</x:f>
        <x:v>515.6666666666666</x:v>
      </x:c>
      <x:c r="L21" s="18" t="n">
        <x:f>IFERROR(F21/(D21+E21+F21),0)</x:f>
        <x:v>0.006284367635506678</x:v>
      </x:c>
      <x:c r="M21" s="15" t="n">
        <x:v>6.304</x:v>
      </x:c>
      <x:c r="N21" s="15" t="n">
        <x:f>D21*M21</x:f>
        <x:v>7608.928</x:v>
      </x:c>
      <x:c r="O21" t="str">
        <x:v>SLOW-MOVER REVIEW</x:v>
      </x:c>
    </x:row>
    <x:row r="22">
      <x:c r="A22" t="str">
        <x:v>Peak Fuel</x:v>
      </x:c>
      <x:c r="B22" t="str">
        <x:v>PF-ELECTRO-CIT</x:v>
      </x:c>
      <x:c r="C22" t="str">
        <x:v>Peak Fuel Electrolyte Powder Citrus 60srv</x:v>
      </x:c>
      <x:c r="D22" s="17" t="n">
        <x:v>692</x:v>
      </x:c>
      <x:c r="E22" s="17" t="n">
        <x:v>6</x:v>
      </x:c>
      <x:c r="F22" s="17" t="n">
        <x:v>2</x:v>
      </x:c>
      <x:c r="G22" s="17" t="n">
        <x:v>500</x:v>
      </x:c>
      <x:c r="H22" s="17" t="n">
        <x:v>119</x:v>
      </x:c>
      <x:c r="I22" s="30" t="n">
        <x:f>H22/91</x:f>
        <x:v>1.3076923076923077</x:v>
      </x:c>
      <x:c r="J22" s="30" t="n">
        <x:f>IFERROR(D22/I22,0)</x:f>
        <x:v>529.1764705882352</x:v>
      </x:c>
      <x:c r="K22" s="30" t="n">
        <x:f>IFERROR((D22+G22)/I22,0)</x:f>
        <x:v>911.5294117647059</x:v>
      </x:c>
      <x:c r="L22" s="18" t="n">
        <x:f>IFERROR(F22/(D22+E22+F22),0)</x:f>
        <x:v>0.002857142857142857</x:v>
      </x:c>
      <x:c r="M22" s="15" t="n">
        <x:v>6.402</x:v>
      </x:c>
      <x:c r="N22" s="15" t="n">
        <x:f>D22*M22</x:f>
        <x:v>4430.184</x:v>
      </x:c>
      <x:c r="O22" t="str">
        <x:v>SLOW-MOVER REVIEW</x:v>
      </x:c>
    </x:row>
    <x:row r="23">
      <x:c r="A23" t="str">
        <x:v>PawHaus</x:v>
      </x:c>
      <x:c r="B23" t="str">
        <x:v>PH-SHAMPOO-OAT</x:v>
      </x:c>
      <x:c r="C23" t="str">
        <x:v>PawHaus Oatmeal Dog Shampoo 16oz</x:v>
      </x:c>
      <x:c r="D23" s="17" t="n">
        <x:v>1129</x:v>
      </x:c>
      <x:c r="E23" s="17" t="n">
        <x:v>9</x:v>
      </x:c>
      <x:c r="F23" s="17" t="n">
        <x:v>2</x:v>
      </x:c>
      <x:c r="G23" s="17" t="n">
        <x:v>1000</x:v>
      </x:c>
      <x:c r="H23" s="17" t="n">
        <x:v>188</x:v>
      </x:c>
      <x:c r="I23" s="30" t="n">
        <x:f>H23/91</x:f>
        <x:v>2.065934065934066</x:v>
      </x:c>
      <x:c r="J23" s="30" t="n">
        <x:f>IFERROR(D23/I23,0)</x:f>
        <x:v>546.4840425531914</x:v>
      </x:c>
      <x:c r="K23" s="30" t="n">
        <x:f>IFERROR((D23+G23)/I23,0)</x:f>
        <x:v>1030.5265957446807</x:v>
      </x:c>
      <x:c r="L23" s="18" t="n">
        <x:f>IFERROR(F23/(D23+E23+F23),0)</x:f>
        <x:v>0.0017543859649122807</x:v>
      </x:c>
      <x:c r="M23" s="15" t="n">
        <x:v>3.804</x:v>
      </x:c>
      <x:c r="N23" s="15" t="n">
        <x:f>D23*M23</x:f>
        <x:v>4294.715999999999</x:v>
      </x:c>
      <x:c r="O23" t="str">
        <x:v>SLOW-MOVER REVIEW</x:v>
      </x:c>
    </x:row>
    <x:row r="24">
      <x:c r="A24" t="str">
        <x:v>GlowTheory</x:v>
      </x:c>
      <x:c r="B24" t="str">
        <x:v>GT-MASK-CLAY</x:v>
      </x:c>
      <x:c r="C24" t="str">
        <x:v>GlowTheory Detox Clay Mask 100g</x:v>
      </x:c>
      <x:c r="D24" s="17" t="n">
        <x:v>957</x:v>
      </x:c>
      <x:c r="E24" s="17" t="n">
        <x:v>48</x:v>
      </x:c>
      <x:c r="F24" s="17" t="n">
        <x:v>73</x:v>
      </x:c>
      <x:c r="G24" s="17" t="n">
        <x:v>500</x:v>
      </x:c>
      <x:c r="H24" s="17" t="n">
        <x:v>142</x:v>
      </x:c>
      <x:c r="I24" s="30" t="n">
        <x:f>H24/91</x:f>
        <x:v>1.5604395604395604</x:v>
      </x:c>
      <x:c r="J24" s="30" t="n">
        <x:f>IFERROR(D24/I24,0)</x:f>
        <x:v>613.2887323943662</x:v>
      </x:c>
      <x:c r="K24" s="30" t="n">
        <x:f>IFERROR((D24+G24)/I24,0)</x:f>
        <x:v>933.7112676056338</x:v>
      </x:c>
      <x:c r="L24" s="18" t="n">
        <x:f>IFERROR(F24/(D24+E24+F24),0)</x:f>
        <x:v>0.06771799628942486</x:v>
      </x:c>
      <x:c r="M24" s="15" t="n">
        <x:v>4.598</x:v>
      </x:c>
      <x:c r="N24" s="15" t="n">
        <x:f>D24*M24</x:f>
        <x:v>4400.286</x:v>
      </x:c>
      <x:c r="O24" t="str">
        <x:v>SLOW-MOVER REVIEW</x:v>
      </x:c>
    </x:row>
    <x:row r="25">
      <x:c r="A25" t="str">
        <x:v>GlowTheory</x:v>
      </x:c>
      <x:c r="B25" t="str">
        <x:v>GT-CLEANSE-150</x:v>
      </x:c>
      <x:c r="C25" t="str">
        <x:v>GlowTheory Gentle Foaming Cleanser 150ml</x:v>
      </x:c>
      <x:c r="D25" s="17" t="n">
        <x:v>1302</x:v>
      </x:c>
      <x:c r="E25" s="17" t="n">
        <x:v>16</x:v>
      </x:c>
      <x:c r="F25" s="17" t="n">
        <x:v>2</x:v>
      </x:c>
      <x:c r="G25" s="17" t="n">
        <x:v>0</x:v>
      </x:c>
      <x:c r="H25" s="17" t="n">
        <x:v>168</x:v>
      </x:c>
      <x:c r="I25" s="30" t="n">
        <x:f>H25/91</x:f>
        <x:v>1.8461538461538463</x:v>
      </x:c>
      <x:c r="J25" s="30" t="n">
        <x:f>IFERROR(D25/I25,0)</x:f>
        <x:v>705.25</x:v>
      </x:c>
      <x:c r="K25" s="30" t="n">
        <x:f>IFERROR((D25+G25)/I25,0)</x:f>
        <x:v>705.25</x:v>
      </x:c>
      <x:c r="L25" s="18" t="n">
        <x:f>IFERROR(F25/(D25+E25+F25),0)</x:f>
        <x:v>0.0015151515151515152</x:v>
      </x:c>
      <x:c r="M25" s="15" t="n">
        <x:v>3.902</x:v>
      </x:c>
      <x:c r="N25" s="15" t="n">
        <x:f>D25*M25</x:f>
        <x:v>5080.404</x:v>
      </x:c>
      <x:c r="O25" t="str">
        <x:v>SLOW-MOVER REVIEW</x:v>
      </x:c>
    </x:row>
    <x:row r="26">
      <x:c r="A26" t="str">
        <x:v>Peak Fuel</x:v>
      </x:c>
      <x:c r="B26" t="str">
        <x:v>PF-VEGAN-CHOC</x:v>
      </x:c>
      <x:c r="C26" t="str">
        <x:v>Peak Fuel Vegan Protein Chocolate 2lb</x:v>
      </x:c>
      <x:c r="D26" s="17" t="n">
        <x:v>801</x:v>
      </x:c>
      <x:c r="E26" s="17" t="n">
        <x:v>24</x:v>
      </x:c>
      <x:c r="F26" s="17" t="n">
        <x:v>7</x:v>
      </x:c>
      <x:c r="G26" s="17" t="n">
        <x:v>0</x:v>
      </x:c>
      <x:c r="H26" s="17" t="n">
        <x:v>87</x:v>
      </x:c>
      <x:c r="I26" s="30" t="n">
        <x:f>H26/91</x:f>
        <x:v>0.9560439560439561</x:v>
      </x:c>
      <x:c r="J26" s="30" t="n">
        <x:f>IFERROR(D26/I26,0)</x:f>
        <x:v>837.8275862068965</x:v>
      </x:c>
      <x:c r="K26" s="30" t="n">
        <x:f>IFERROR((D26+G26)/I26,0)</x:f>
        <x:v>837.8275862068965</x:v>
      </x:c>
      <x:c r="L26" s="18" t="n">
        <x:f>IFERROR(F26/(D26+E26+F26),0)</x:f>
        <x:v>0.008413461538461538</x:v>
      </x:c>
      <x:c r="M26" s="15" t="n">
        <x:v>15.804000000000002</x:v>
      </x:c>
      <x:c r="N26" s="15" t="n">
        <x:f>D26*M26</x:f>
        <x:v>12659.004</x:v>
      </x:c>
      <x:c r="O26" t="str">
        <x:v>SLOW-MOVER REVIEW</x:v>
      </x:c>
    </x:row>
    <x:row r="27">
      <x:c r="A27" t="str">
        <x:v>GlowTheory</x:v>
      </x:c>
      <x:c r="B27" t="str">
        <x:v>GT-ROLLER-JADE</x:v>
      </x:c>
      <x:c r="C27" t="str">
        <x:v>GlowTheory Jade Facial Roller</x:v>
      </x:c>
      <x:c r="D27" s="17" t="n">
        <x:v>1068</x:v>
      </x:c>
      <x:c r="E27" s="17" t="n">
        <x:v>31</x:v>
      </x:c>
      <x:c r="F27" s="17" t="n">
        <x:v>0</x:v>
      </x:c>
      <x:c r="G27" s="17" t="n">
        <x:v>300</x:v>
      </x:c>
      <x:c r="H27" s="17" t="n">
        <x:v>98</x:v>
      </x:c>
      <x:c r="I27" s="30" t="n">
        <x:f>H27/91</x:f>
        <x:v>1.0769230769230769</x:v>
      </x:c>
      <x:c r="J27" s="30" t="n">
        <x:f>IFERROR(D27/I27,0)</x:f>
        <x:v>991.7142857142858</x:v>
      </x:c>
      <x:c r="K27" s="30" t="n">
        <x:f>IFERROR((D27+G27)/I27,0)</x:f>
        <x:v>1270.2857142857144</x:v>
      </x:c>
      <x:c r="L27" s="18" t="n">
        <x:f>IFERROR(F27/(D27+E27+F27),0)</x:f>
        <x:v>0</x:v>
      </x:c>
      <x:c r="M27" s="15" t="n">
        <x:v>2.696</x:v>
      </x:c>
      <x:c r="N27" s="15" t="n">
        <x:f>D27*M27</x:f>
        <x:v>2879.328</x:v>
      </x:c>
      <x:c r="O27" t="str">
        <x:v>SLOW-MOVER REVIEW</x:v>
      </x:c>
    </x:row>
    <x:row r="28">
      <x:c r="A28" t="str">
        <x:v>GlowTheory</x:v>
      </x:c>
      <x:c r="B28" t="str">
        <x:v>GT-LIP-BALM</x:v>
      </x:c>
      <x:c r="C28" t="str">
        <x:v>GlowTheory Repair Lip Balm SPF 15</x:v>
      </x:c>
      <x:c r="D28" s="17" t="n">
        <x:v>1182</x:v>
      </x:c>
      <x:c r="E28" s="17" t="n">
        <x:v>58</x:v>
      </x:c>
      <x:c r="F28" s="17" t="n">
        <x:v>11</x:v>
      </x:c>
      <x:c r="G28" s="17" t="n">
        <x:v>300</x:v>
      </x:c>
      <x:c r="H28" s="17" t="n">
        <x:v>23</x:v>
      </x:c>
      <x:c r="I28" s="30" t="n">
        <x:f>H28/91</x:f>
        <x:v>0.25274725274725274</x:v>
      </x:c>
      <x:c r="J28" s="30" t="n">
        <x:f>IFERROR(D28/I28,0)</x:f>
        <x:v>4676.608695652174</x:v>
      </x:c>
      <x:c r="K28" s="30" t="n">
        <x:f>IFERROR((D28+G28)/I28,0)</x:f>
        <x:v>5863.565217391305</x:v>
      </x:c>
      <x:c r="L28" s="18" t="n">
        <x:f>IFERROR(F28/(D28+E28+F28),0)</x:f>
        <x:v>0.008792965627498001</x:v>
      </x:c>
      <x:c r="M28" s="15" t="n">
        <x:v>4.7010000000000005</x:v>
      </x:c>
      <x:c r="N28" s="15" t="n">
        <x:f>D28*M28</x:f>
        <x:v>5556.582</x:v>
      </x:c>
      <x:c r="O28" t="str">
        <x:v>SLOW-MOVER REVIEW</x:v>
      </x:c>
    </x:row>
  </x:sheetData>
  <x:mergeCells>
    <x:mergeCell ref="A1:O2"/>
  </x:mergeCells>
  <x:conditionalFormatting sqref="O5:O28">
    <x:cfRule type="containsText" dxfId="1" priority="1" operator="containsText" text="EXPEDITE"/>
    <x:cfRule type="containsText" dxfId="2" priority="2" operator="containsText" text="SLOW"/>
  </x:conditionalFormatting>
  <x:pageMargins left="0.7" right="0.7" top="0.75" bottom="0.75" header="0.3" footer="0.3"/>
  <x:tableParts count="1">
    <x:tablePart xmlns:r="http://schemas.openxmlformats.org/officeDocument/2006/relationships" r:id="R625ea1bc57d947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48" hidden="0" customWidth="1"/>
    <x:col min="4" max="4" width="50" hidden="0" customWidth="1"/>
    <x:col min="5" max="5" width="50" hidden="0" customWidth="1"/>
  </x:cols>
  <x:sheetData>
    <x:row r="1">
      <x:c r="A1" s="3" t="str">
        <x:v>Data Quality &amp; Assumptions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3">
      <x:c r="A3" s="4" t="str">
        <x:v>Exceptions are surfaced, resolved explicitly, and assigned an ongoing control</x:v>
      </x:c>
    </x:row>
    <x:row r="4" ht="30" customHeight="1">
      <x:c r="A4" s="12" t="str">
        <x:v>Severity</x:v>
      </x:c>
      <x:c r="B4" s="13" t="str">
        <x:v>Issue</x:v>
      </x:c>
      <x:c r="C4" s="13" t="str">
        <x:v>Evidence</x:v>
      </x:c>
      <x:c r="D4" s="13" t="str">
        <x:v>Resolution in this analysis</x:v>
      </x:c>
      <x:c r="E4" s="14" t="str">
        <x:v>Ongoing control</x:v>
      </x:c>
    </x:row>
    <x:row r="5">
      <x:c r="A5" s="32" t="str">
        <x:v>High</x:v>
      </x:c>
      <x:c r="B5" s="32" t="str">
        <x:v>Two sellable SKUs have no PO landed-cost history</x:v>
      </x:c>
      <x:c r="C5" s="32" t="str">
        <x:v>GT-LIP-BALM, PH-TOY-ROPE-L; 2 SKUs</x:v>
      </x:c>
      <x:c r="D5" s="32" t="str">
        <x:v>Imputed each SKU at its brand median landed unit cost and flagged every affected row.</x:v>
      </x:c>
      <x:c r="E5" s="32" t="str">
        <x:v>Quarantine cost-missing SKUs; require finance approval before publishing final CM.</x:v>
      </x:c>
    </x:row>
    <x:row r="6">
      <x:c r="A6" s="32" t="str">
        <x:v>High</x:v>
      </x:c>
      <x:c r="B6" s="32" t="str">
        <x:v>PH-DENTAL-30CT PO quantity is cases, not sellable units</x:v>
      </x:c>
      <x:c r="C6" s="32" t="str">
        <x:v>Description says CASE OF 12; 99 PO cases become 1,188 sellable units.</x:v>
      </x:c>
      <x:c r="D6" s="32" t="str">
        <x:v>Applied an explicit 12-unit case-pack override before calculating weighted landed cost.</x:v>
      </x:c>
      <x:c r="E6" s="32" t="str">
        <x:v>Maintain effective-dated UOM conversion rules in a product/UOM bridge.</x:v>
      </x:c>
    </x:row>
    <x:row r="7">
      <x:c r="A7" s="32" t="str">
        <x:v>Medium</x:v>
      </x:c>
      <x:c r="B7" s="32" t="str">
        <x:v>One product appears under two SKU strings</x:v>
      </x:c>
      <x:c r="C7" s="32" t="str">
        <x:v>PF-ELECTRO-CITRUS aliases PF-ELECTRO-CIT; 53 affected source rows.</x:v>
      </x:c>
      <x:c r="D7" s="32" t="str">
        <x:v>Canonicalized using an auditable alias bridge; matched ASIN B0PFELECIT.</x:v>
      </x:c>
      <x:c r="E7" s="32" t="str">
        <x:v>Never update facts in place; resolve identifiers through an effective-dated bridge.</x:v>
      </x:c>
    </x:row>
    <x:row r="8">
      <x:c r="A8" s="32" t="str">
        <x:v>Medium</x:v>
      </x:c>
      <x:c r="B8" s="32" t="str">
        <x:v>ASIN is not unique in the supplied mapping</x:v>
      </x:c>
      <x:c r="C8" s="32" t="str">
        <x:v>2 mapping rows share duplicate ASIN values; B0GTRLRJDE spans two brands.</x:v>
      </x:c>
      <x:c r="D8" s="32" t="str">
        <x:v>Used SKU as the transaction join key and quarantined ASIN-only joins for review.</x:v>
      </x:c>
      <x:c r="E8" s="32" t="str">
        <x:v>Test uniqueness by marketplace + ASIN + effective date; retain exceptions table.</x:v>
      </x:c>
    </x:row>
    <x:row r="9">
      <x:c r="A9" s="32" t="str">
        <x:v>Medium</x:v>
      </x:c>
      <x:c r="B9" s="32" t="str">
        <x:v>Platform fees and adjustments have no usable SKU allocation key</x:v>
      </x:c>
      <x:c r="C9" s="32" t="str">
        <x:v>9 settlement rows lack SKU, including advertising, storage, and subscription fees.</x:v>
      </x:c>
      <x:c r="D9" s="32" t="str">
        <x:v>Kept these amounts below SKU-attributable CM1; did not force an allocation.</x:v>
      </x:c>
      <x:c r="E9" s="32" t="str">
        <x:v>Ingest advertising campaign/product reports and storage SKU detail before allocation.</x:v>
      </x:c>
    </x:row>
    <x:row r="10">
      <x:c r="A10" s="32" t="str">
        <x:v>Medium</x:v>
      </x:c>
      <x:c r="B10" s="32" t="str">
        <x:v>PO data has no receipt/status lifecycle</x:v>
      </x:c>
      <x:c r="C10" s="32" t="str">
        <x:v>PO date and inbound snapshot cannot prove whether a PO is open, shipped, received, or canceled.</x:v>
      </x:c>
      <x:c r="D10" s="32" t="str">
        <x:v>Used PO lines only for weighted landed unit cost; did not label PO quantities as inbound.</x:v>
      </x:c>
      <x:c r="E10" s="32" t="str">
        <x:v>Add PO header/status, expected ship/arrival, receipt, and Amazon shipment IDs.</x:v>
      </x:c>
    </x:row>
    <x:row r="11">
      <x:c r="A11" s="32" t="str">
        <x:v>Low</x:v>
      </x:c>
      <x:c r="B11" s="32" t="str">
        <x:v>Mixed PO date formats</x:v>
      </x:c>
      <x:c r="C11" s="32" t="str">
        <x:v>0 failed parses after normalized mixed-format parsing.</x:v>
      </x:c>
      <x:c r="D11" s="32" t="str">
        <x:v>Parsed with mixed-format logic and stored as typed dates.</x:v>
      </x:c>
      <x:c r="E11" s="32" t="str">
        <x:v>Reject unparseable dates in staging and publish source-row error counts.</x:v>
      </x:c>
    </x:row>
    <x:row r="12">
      <x:c r="A12" s="32" t="str">
        <x:v>Low</x:v>
      </x:c>
      <x:c r="B12" s="32" t="str">
        <x:v>Quarter/date and arithmetic reconciliation</x:v>
      </x:c>
      <x:c r="C12" s="32" t="str">
        <x:v>0 settlement rows outside Q2; max settlement delta $0.000000; max PO delta $0.000000.</x:v>
      </x:c>
      <x:c r="D12" s="32" t="str">
        <x:v>Confirmed Q2 date scope and arithmetic tie-outs within floating-point tolerance.</x:v>
      </x:c>
      <x:c r="E12" s="32" t="str">
        <x:v>Block reporting when date, row-count, or amount reconciliation tests exceed tolerance.</x:v>
      </x:c>
    </x:row>
    <x:row r="15">
      <x:c r="A15" s="34" t="str">
        <x:v>Key profitability assumptions</x:v>
      </x:c>
      <x:c r="B15" s="34"/>
      <x:c r="C15" s="34"/>
      <x:c r="D15" s="34"/>
      <x:c r="E15" s="34"/>
    </x:row>
    <x:row r="16" ht="34" customHeight="1">
      <x:c r="A16" s="37" t="str">
        <x:v>• Refunds reverse sales, promotions, referral fees, units, and landed COGS; return disposition was not provided.</x:v>
      </x:c>
      <x:c r="B16" s="37"/>
      <x:c r="C16" s="37"/>
      <x:c r="D16" s="37"/>
      <x:c r="E16" s="37"/>
    </x:row>
    <x:row r="17" ht="34" customHeight="1">
      <x:c r="A17" s="37" t="str">
        <x:v>• Advertising, storage, subscription, and adjustments stay below CM1 because they lack a defensible SKU allocation key.</x:v>
      </x:c>
      <x:c r="B17" s="37"/>
      <x:c r="C17" s="37"/>
      <x:c r="D17" s="37"/>
      <x:c r="E17" s="37"/>
    </x:row>
    <x:row r="18" ht="34" customHeight="1">
      <x:c r="A18" s="37" t="str">
        <x:v>• Two missing SKU costs use brand-median landed cost and remain flagged for replacement.</x:v>
      </x:c>
      <x:c r="B18" s="37"/>
      <x:c r="C18" s="37"/>
      <x:c r="D18" s="37"/>
      <x:c r="E18" s="37"/>
    </x:row>
    <x:row r="19" ht="34" customHeight="1">
      <x:c r="A19" s="37" t="str">
        <x:v>• PO data supports unit cost, not inbound lifecycle; PO quantities are not assumed to equal Amazon inbound.</x:v>
      </x:c>
      <x:c r="B19" s="37"/>
      <x:c r="C19" s="37"/>
      <x:c r="D19" s="37"/>
      <x:c r="E19" s="37"/>
    </x:row>
    <x:row r="20" ht="34" customHeight="1">
      <x:c r="A20" s="37" t="str">
        <x:v>• Inventory cover uses Q2 net demand over 91 days and fulfillable on-hand as of 2026-06-30.</x:v>
      </x:c>
      <x:c r="B20" s="37"/>
      <x:c r="C20" s="37"/>
      <x:c r="D20" s="37"/>
      <x:c r="E20" s="37"/>
    </x:row>
  </x:sheetData>
  <x:mergeCells>
    <x:mergeCell ref="A1:E2"/>
    <x:mergeCell ref="A15:E15"/>
    <x:mergeCell ref="A16:E16"/>
    <x:mergeCell ref="A17:E17"/>
    <x:mergeCell ref="A18:E18"/>
    <x:mergeCell ref="A19:E19"/>
    <x:mergeCell ref="A20:E20"/>
  </x:mergeCells>
  <x:conditionalFormatting sqref="A5:A12">
    <x:cfRule type="containsText" dxfId="3" priority="1" operator="containsText" text="High"/>
    <x:cfRule type="containsText" dxfId="4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0b9307973a3349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43" hidden="0" customWidth="1"/>
    <x:col min="4" max="4" width="10" hidden="0" customWidth="1"/>
    <x:col min="5" max="5" width="13" hidden="0" customWidth="1"/>
    <x:col min="6" max="6" width="13" hidden="0" customWidth="1"/>
    <x:col min="7" max="7" width="15" hidden="0" customWidth="1"/>
    <x:col min="8" max="8" width="14" hidden="0" customWidth="1"/>
    <x:col min="9" max="9" width="16" hidden="0" customWidth="1"/>
    <x:col min="10" max="10" width="14" hidden="0" customWidth="1"/>
    <x:col min="11" max="11" width="11" hidden="0" customWidth="1"/>
    <x:col min="12" max="12" width="16" hidden="0" customWidth="1"/>
  </x:cols>
  <x:sheetData>
    <x:row r="1">
      <x:c r="A1" s="3" t="str">
        <x:v>PO Landed Unit Cost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4" t="str">
        <x:v>Weighted average landed cost; PH-DENTAL-30CT converted from cases at 12 units per case</x:v>
      </x:c>
    </x:row>
    <x:row r="4" ht="30" customHeight="1">
      <x:c r="A4" s="12" t="str">
        <x:v>Brand</x:v>
      </x:c>
      <x:c r="B4" s="13" t="str">
        <x:v>Canonical SKU</x:v>
      </x:c>
      <x:c r="C4" s="13" t="str">
        <x:v>Product</x:v>
      </x:c>
      <x:c r="D4" s="13" t="str">
        <x:v>PO Lines</x:v>
      </x:c>
      <x:c r="E4" s="13" t="str">
        <x:v>First PO</x:v>
      </x:c>
      <x:c r="F4" s="13" t="str">
        <x:v>Last PO</x:v>
      </x:c>
      <x:c r="G4" s="13" t="str">
        <x:v>Purchased Units</x:v>
      </x:c>
      <x:c r="H4" s="13" t="str">
        <x:v>Product Cost</x:v>
      </x:c>
      <x:c r="I4" s="13" t="str">
        <x:v>Freight &amp; Duty</x:v>
      </x:c>
      <x:c r="J4" s="13" t="str">
        <x:v>Landed Cost</x:v>
      </x:c>
      <x:c r="K4" s="13" t="str">
        <x:v>Case Pack</x:v>
      </x:c>
      <x:c r="L4" s="14" t="str">
        <x:v>Unit Landed Cost</x:v>
      </x:c>
    </x:row>
    <x:row r="5">
      <x:c r="A5" t="str">
        <x:v>GlowTheory</x:v>
      </x:c>
      <x:c r="B5" t="str">
        <x:v>GT-CLEANSE-150</x:v>
      </x:c>
      <x:c r="C5" t="str">
        <x:v>GlowTheory Gentle Foaming Cleanser 150ml</x:v>
      </x:c>
      <x:c r="D5" t="n">
        <x:v>3</x:v>
      </x:c>
      <x:c r="E5" s="31" t="n">
        <x:v>46096</x:v>
      </x:c>
      <x:c r="F5" s="31" t="n">
        <x:v>46190</x:v>
      </x:c>
      <x:c r="G5" s="17" t="n">
        <x:v>1000</x:v>
      </x:c>
      <x:c r="H5" s="15" t="n">
        <x:v>3590</x:v>
      </x:c>
      <x:c r="I5" s="15" t="n">
        <x:v>312</x:v>
      </x:c>
      <x:c r="J5" s="15" t="n">
        <x:v>3902</x:v>
      </x:c>
      <x:c r="K5" s="17" t="n">
        <x:v>1</x:v>
      </x:c>
      <x:c r="L5" s="16" t="n">
        <x:v>3.902</x:v>
      </x:c>
    </x:row>
    <x:row r="6">
      <x:c r="A6" t="str">
        <x:v>GlowTheory</x:v>
      </x:c>
      <x:c r="B6" t="str">
        <x:v>GT-EYE-CREAM</x:v>
      </x:c>
      <x:c r="C6" t="str">
        <x:v>GlowTheory Restorative Eye Cream 15ml</x:v>
      </x:c>
      <x:c r="D6" t="n">
        <x:v>2</x:v>
      </x:c>
      <x:c r="E6" s="31" t="n">
        <x:v>46124</x:v>
      </x:c>
      <x:c r="F6" s="31" t="n">
        <x:v>46135</x:v>
      </x:c>
      <x:c r="G6" s="17" t="n">
        <x:v>600</x:v>
      </x:c>
      <x:c r="H6" s="15" t="n">
        <x:v>2814.0000000000005</x:v>
      </x:c>
      <x:c r="I6" s="15" t="n">
        <x:v>244.79999999999998</x:v>
      </x:c>
      <x:c r="J6" s="15" t="n">
        <x:v>3058.8</x:v>
      </x:c>
      <x:c r="K6" s="17" t="n">
        <x:v>1</x:v>
      </x:c>
      <x:c r="L6" s="16" t="n">
        <x:v>5.098</x:v>
      </x:c>
    </x:row>
    <x:row r="7">
      <x:c r="A7" t="str">
        <x:v>GlowTheory</x:v>
      </x:c>
      <x:c r="B7" t="str">
        <x:v>GT-MASK-CLAY</x:v>
      </x:c>
      <x:c r="C7" t="str">
        <x:v>GlowTheory Detox Clay Mask 100g</x:v>
      </x:c>
      <x:c r="D7" t="n">
        <x:v>2</x:v>
      </x:c>
      <x:c r="E7" s="31" t="n">
        <x:v>46063</x:v>
      </x:c>
      <x:c r="F7" s="31" t="n">
        <x:v>46160</x:v>
      </x:c>
      <x:c r="G7" s="17" t="n">
        <x:v>400</x:v>
      </x:c>
      <x:c r="H7" s="15" t="n">
        <x:v>1692.0000000000002</x:v>
      </x:c>
      <x:c r="I7" s="15" t="n">
        <x:v>147.2</x:v>
      </x:c>
      <x:c r="J7" s="15" t="n">
        <x:v>1839.2</x:v>
      </x:c>
      <x:c r="K7" s="17" t="n">
        <x:v>1</x:v>
      </x:c>
      <x:c r="L7" s="16" t="n">
        <x:v>4.598</x:v>
      </x:c>
    </x:row>
    <x:row r="8">
      <x:c r="A8" t="str">
        <x:v>GlowTheory</x:v>
      </x:c>
      <x:c r="B8" t="str">
        <x:v>GT-MOIST-50ML</x:v>
      </x:c>
      <x:c r="C8" t="str">
        <x:v>GlowTheory Daily Moisturizer 50ml</x:v>
      </x:c>
      <x:c r="D8" t="n">
        <x:v>3</x:v>
      </x:c>
      <x:c r="E8" s="31" t="n">
        <x:v>46066</x:v>
      </x:c>
      <x:c r="F8" s="31" t="n">
        <x:v>46150</x:v>
      </x:c>
      <x:c r="G8" s="17" t="n">
        <x:v>1600</x:v>
      </x:c>
      <x:c r="H8" s="15" t="n">
        <x:v>7648</x:v>
      </x:c>
      <x:c r="I8" s="15" t="n">
        <x:v>665.6</x:v>
      </x:c>
      <x:c r="J8" s="15" t="n">
        <x:v>8313.6</x:v>
      </x:c>
      <x:c r="K8" s="17" t="n">
        <x:v>1</x:v>
      </x:c>
      <x:c r="L8" s="16" t="n">
        <x:v>5.196000000000001</x:v>
      </x:c>
    </x:row>
    <x:row r="9">
      <x:c r="A9" t="str">
        <x:v>GlowTheory</x:v>
      </x:c>
      <x:c r="B9" t="str">
        <x:v>GT-ROLLER-JADE</x:v>
      </x:c>
      <x:c r="C9" t="str">
        <x:v>GlowTheory Jade Facial Roller</x:v>
      </x:c>
      <x:c r="D9" t="n">
        <x:v>2</x:v>
      </x:c>
      <x:c r="E9" s="31" t="n">
        <x:v>46122</x:v>
      </x:c>
      <x:c r="F9" s="31" t="n">
        <x:v>46130</x:v>
      </x:c>
      <x:c r="G9" s="17" t="n">
        <x:v>800</x:v>
      </x:c>
      <x:c r="H9" s="15" t="n">
        <x:v>1984</x:v>
      </x:c>
      <x:c r="I9" s="15" t="n">
        <x:v>172.8</x:v>
      </x:c>
      <x:c r="J9" s="15" t="n">
        <x:v>2156.8</x:v>
      </x:c>
      <x:c r="K9" s="17" t="n">
        <x:v>1</x:v>
      </x:c>
      <x:c r="L9" s="16" t="n">
        <x:v>2.696</x:v>
      </x:c>
    </x:row>
    <x:row r="10">
      <x:c r="A10" t="str">
        <x:v>GlowTheory</x:v>
      </x:c>
      <x:c r="B10" t="str">
        <x:v>GT-SERUM-HA</x:v>
      </x:c>
      <x:c r="C10" t="str">
        <x:v>GlowTheory Hyaluronic Acid Serum 30ml</x:v>
      </x:c>
      <x:c r="D10" t="n">
        <x:v>3</x:v>
      </x:c>
      <x:c r="E10" s="31" t="n">
        <x:v>46078</x:v>
      </x:c>
      <x:c r="F10" s="31" t="n">
        <x:v>46200</x:v>
      </x:c>
      <x:c r="G10" s="17" t="n">
        <x:v>1400</x:v>
      </x:c>
      <x:c r="H10" s="15" t="n">
        <x:v>5278</x:v>
      </x:c>
      <x:c r="I10" s="15" t="n">
        <x:v>459.2</x:v>
      </x:c>
      <x:c r="J10" s="15" t="n">
        <x:v>5737.2</x:v>
      </x:c>
      <x:c r="K10" s="17" t="n">
        <x:v>1</x:v>
      </x:c>
      <x:c r="L10" s="16" t="n">
        <x:v>4.098</x:v>
      </x:c>
    </x:row>
    <x:row r="11">
      <x:c r="A11" t="str">
        <x:v>GlowTheory</x:v>
      </x:c>
      <x:c r="B11" t="str">
        <x:v>GT-SERUM-VITC</x:v>
      </x:c>
      <x:c r="C11" t="str">
        <x:v>GlowTheory Vitamin C Serum 30ml</x:v>
      </x:c>
      <x:c r="D11" t="n">
        <x:v>3</x:v>
      </x:c>
      <x:c r="E11" s="31" t="n">
        <x:v>46100</x:v>
      </x:c>
      <x:c r="F11" s="31" t="n">
        <x:v>46113</x:v>
      </x:c>
      <x:c r="G11" s="17" t="n">
        <x:v>900</x:v>
      </x:c>
      <x:c r="H11" s="15" t="n">
        <x:v>3978</x:v>
      </x:c>
      <x:c r="I11" s="15" t="n">
        <x:v>345.6</x:v>
      </x:c>
      <x:c r="J11" s="15" t="n">
        <x:v>4323.6</x:v>
      </x:c>
      <x:c r="K11" s="17" t="n">
        <x:v>1</x:v>
      </x:c>
      <x:c r="L11" s="16" t="n">
        <x:v>4.804</x:v>
      </x:c>
    </x:row>
    <x:row r="12">
      <x:c r="A12" t="str">
        <x:v>GlowTheory</x:v>
      </x:c>
      <x:c r="B12" t="str">
        <x:v>GT-SPF30-TINT</x:v>
      </x:c>
      <x:c r="C12" t="str">
        <x:v>GlowTheory Tinted SPF 30 Sunscreen 50ml</x:v>
      </x:c>
      <x:c r="D12" t="n">
        <x:v>2</x:v>
      </x:c>
      <x:c r="E12" s="31" t="n">
        <x:v>46168</x:v>
      </x:c>
      <x:c r="F12" s="31" t="n">
        <x:v>46175</x:v>
      </x:c>
      <x:c r="G12" s="17" t="n">
        <x:v>900</x:v>
      </x:c>
      <x:c r="H12" s="15" t="n">
        <x:v>5220</x:v>
      </x:c>
      <x:c r="I12" s="15" t="n">
        <x:v>453.59999999999997</x:v>
      </x:c>
      <x:c r="J12" s="15" t="n">
        <x:v>5673.6</x:v>
      </x:c>
      <x:c r="K12" s="17" t="n">
        <x:v>1</x:v>
      </x:c>
      <x:c r="L12" s="16" t="n">
        <x:v>6.304</x:v>
      </x:c>
    </x:row>
    <x:row r="13">
      <x:c r="A13" t="str">
        <x:v>Peak Fuel</x:v>
      </x:c>
      <x:c r="B13" t="str">
        <x:v>PF-BCAA-LEMON</x:v>
      </x:c>
      <x:c r="C13" t="str">
        <x:v>Peak Fuel BCAA Lemon Lime 40srv</x:v>
      </x:c>
      <x:c r="D13" t="n">
        <x:v>3</x:v>
      </x:c>
      <x:c r="E13" s="31" t="n">
        <x:v>46086</x:v>
      </x:c>
      <x:c r="F13" s="31" t="n">
        <x:v>46140</x:v>
      </x:c>
      <x:c r="G13" s="17" t="n">
        <x:v>1000</x:v>
      </x:c>
      <x:c r="H13" s="15" t="n">
        <x:v>6530</x:v>
      </x:c>
      <x:c r="I13" s="15" t="n">
        <x:v>568</x:v>
      </x:c>
      <x:c r="J13" s="15" t="n">
        <x:v>7098</x:v>
      </x:c>
      <x:c r="K13" s="17" t="n">
        <x:v>1</x:v>
      </x:c>
      <x:c r="L13" s="16" t="n">
        <x:v>7.098</x:v>
      </x:c>
    </x:row>
    <x:row r="14">
      <x:c r="A14" t="str">
        <x:v>Peak Fuel</x:v>
      </x:c>
      <x:c r="B14" t="str">
        <x:v>PF-CREATINE-300</x:v>
      </x:c>
      <x:c r="C14" t="str">
        <x:v>Peak Fuel Creatine Monohydrate 300g</x:v>
      </x:c>
      <x:c r="D14" t="n">
        <x:v>3</x:v>
      </x:c>
      <x:c r="E14" s="31" t="n">
        <x:v>46052</x:v>
      </x:c>
      <x:c r="F14" s="31" t="n">
        <x:v>46142</x:v>
      </x:c>
      <x:c r="G14" s="17" t="n">
        <x:v>1400</x:v>
      </x:c>
      <x:c r="H14" s="15" t="n">
        <x:v>7210</x:v>
      </x:c>
      <x:c r="I14" s="15" t="n">
        <x:v>627.2</x:v>
      </x:c>
      <x:c r="J14" s="15" t="n">
        <x:v>7837.200000000001</x:v>
      </x:c>
      <x:c r="K14" s="17" t="n">
        <x:v>1</x:v>
      </x:c>
      <x:c r="L14" s="16" t="n">
        <x:v>5.598000000000001</x:v>
      </x:c>
    </x:row>
    <x:row r="15">
      <x:c r="A15" t="str">
        <x:v>Peak Fuel</x:v>
      </x:c>
      <x:c r="B15" t="str">
        <x:v>PF-ELECTRO-CIT</x:v>
      </x:c>
      <x:c r="C15" t="str">
        <x:v>Peak Fuel Electrolyte Powder Citrus 60srv</x:v>
      </x:c>
      <x:c r="D15" t="n">
        <x:v>3</x:v>
      </x:c>
      <x:c r="E15" s="31" t="n">
        <x:v>46100</x:v>
      </x:c>
      <x:c r="F15" s="31" t="n">
        <x:v>46156</x:v>
      </x:c>
      <x:c r="G15" s="17" t="n">
        <x:v>1300</x:v>
      </x:c>
      <x:c r="H15" s="15" t="n">
        <x:v>7657</x:v>
      </x:c>
      <x:c r="I15" s="15" t="n">
        <x:v>665.6</x:v>
      </x:c>
      <x:c r="J15" s="15" t="n">
        <x:v>8322.6</x:v>
      </x:c>
      <x:c r="K15" s="17" t="n">
        <x:v>1</x:v>
      </x:c>
      <x:c r="L15" s="16" t="n">
        <x:v>6.402</x:v>
      </x:c>
    </x:row>
    <x:row r="16">
      <x:c r="A16" t="str">
        <x:v>Peak Fuel</x:v>
      </x:c>
      <x:c r="B16" t="str">
        <x:v>PF-PREWKT-BERRY</x:v>
      </x:c>
      <x:c r="C16" t="str">
        <x:v>Peak Fuel Pre-Workout Mixed Berry 30srv</x:v>
      </x:c>
      <x:c r="D16" t="n">
        <x:v>3</x:v>
      </x:c>
      <x:c r="E16" s="31" t="n">
        <x:v>46060</x:v>
      </x:c>
      <x:c r="F16" s="31" t="n">
        <x:v>46187</x:v>
      </x:c>
      <x:c r="G16" s="17" t="n">
        <x:v>1000</x:v>
      </x:c>
      <x:c r="H16" s="15" t="n">
        <x:v>8190</x:v>
      </x:c>
      <x:c r="I16" s="15" t="n">
        <x:v>712</x:v>
      </x:c>
      <x:c r="J16" s="15" t="n">
        <x:v>8902</x:v>
      </x:c>
      <x:c r="K16" s="17" t="n">
        <x:v>1</x:v>
      </x:c>
      <x:c r="L16" s="16" t="n">
        <x:v>8.902</x:v>
      </x:c>
    </x:row>
    <x:row r="17">
      <x:c r="A17" t="str">
        <x:v>Peak Fuel</x:v>
      </x:c>
      <x:c r="B17" t="str">
        <x:v>PF-SHAKER-28</x:v>
      </x:c>
      <x:c r="C17" t="str">
        <x:v>Peak Fuel Shaker Bottle 28oz</x:v>
      </x:c>
      <x:c r="D17" t="n">
        <x:v>2</x:v>
      </x:c>
      <x:c r="E17" s="31" t="n">
        <x:v>46084</x:v>
      </x:c>
      <x:c r="F17" s="31" t="n">
        <x:v>46155</x:v>
      </x:c>
      <x:c r="G17" s="17" t="n">
        <x:v>800</x:v>
      </x:c>
      <x:c r="H17" s="15" t="n">
        <x:v>1696</x:v>
      </x:c>
      <x:c r="I17" s="15" t="n">
        <x:v>147.2</x:v>
      </x:c>
      <x:c r="J17" s="15" t="n">
        <x:v>1843.2</x:v>
      </x:c>
      <x:c r="K17" s="17" t="n">
        <x:v>1</x:v>
      </x:c>
      <x:c r="L17" s="16" t="n">
        <x:v>2.3040000000000003</x:v>
      </x:c>
    </x:row>
    <x:row r="18">
      <x:c r="A18" t="str">
        <x:v>Peak Fuel</x:v>
      </x:c>
      <x:c r="B18" t="str">
        <x:v>PF-VEGAN-CHOC</x:v>
      </x:c>
      <x:c r="C18" t="str">
        <x:v>Peak Fuel Vegan Protein Chocolate 2lb</x:v>
      </x:c>
      <x:c r="D18" t="n">
        <x:v>2</x:v>
      </x:c>
      <x:c r="E18" s="31" t="n">
        <x:v>46034</x:v>
      </x:c>
      <x:c r="F18" s="31" t="n">
        <x:v>46126</x:v>
      </x:c>
      <x:c r="G18" s="17" t="n">
        <x:v>1200</x:v>
      </x:c>
      <x:c r="H18" s="15" t="n">
        <x:v>17448</x:v>
      </x:c>
      <x:c r="I18" s="15" t="n">
        <x:v>1516.8000000000002</x:v>
      </x:c>
      <x:c r="J18" s="15" t="n">
        <x:v>18964.800000000003</x:v>
      </x:c>
      <x:c r="K18" s="17" t="n">
        <x:v>1</x:v>
      </x:c>
      <x:c r="L18" s="16" t="n">
        <x:v>15.804000000000002</x:v>
      </x:c>
    </x:row>
    <x:row r="19">
      <x:c r="A19" t="str">
        <x:v>Peak Fuel</x:v>
      </x:c>
      <x:c r="B19" t="str">
        <x:v>PF-WHEY-CHOC</x:v>
      </x:c>
      <x:c r="C19" t="str">
        <x:v>Peak Fuel Whey Protein Chocolate 2lb</x:v>
      </x:c>
      <x:c r="D19" t="n">
        <x:v>3</x:v>
      </x:c>
      <x:c r="E19" s="31" t="n">
        <x:v>46090</x:v>
      </x:c>
      <x:c r="F19" s="31" t="n">
        <x:v>46174</x:v>
      </x:c>
      <x:c r="G19" s="17" t="n">
        <x:v>800</x:v>
      </x:c>
      <x:c r="H19" s="15" t="n">
        <x:v>10448</x:v>
      </x:c>
      <x:c r="I19" s="15" t="n">
        <x:v>908.8</x:v>
      </x:c>
      <x:c r="J19" s="15" t="n">
        <x:v>11356.8</x:v>
      </x:c>
      <x:c r="K19" s="17" t="n">
        <x:v>1</x:v>
      </x:c>
      <x:c r="L19" s="16" t="n">
        <x:v>14.196</x:v>
      </x:c>
    </x:row>
    <x:row r="20">
      <x:c r="A20" t="str">
        <x:v>Peak Fuel</x:v>
      </x:c>
      <x:c r="B20" t="str">
        <x:v>PF-WHEY-VAN</x:v>
      </x:c>
      <x:c r="C20" t="str">
        <x:v>Peak Fuel Whey Protein Vanilla 2lb</x:v>
      </x:c>
      <x:c r="D20" t="n">
        <x:v>3</x:v>
      </x:c>
      <x:c r="E20" s="31" t="n">
        <x:v>46057</x:v>
      </x:c>
      <x:c r="F20" s="31" t="n">
        <x:v>46153</x:v>
      </x:c>
      <x:c r="G20" s="17" t="n">
        <x:v>1900</x:v>
      </x:c>
      <x:c r="H20" s="15" t="n">
        <x:v>24814</x:v>
      </x:c>
      <x:c r="I20" s="15" t="n">
        <x:v>2158.4</x:v>
      </x:c>
      <x:c r="J20" s="15" t="n">
        <x:v>26972.4</x:v>
      </x:c>
      <x:c r="K20" s="17" t="n">
        <x:v>1</x:v>
      </x:c>
      <x:c r="L20" s="16" t="n">
        <x:v>14.196000000000002</x:v>
      </x:c>
    </x:row>
    <x:row r="21">
      <x:c r="A21" t="str">
        <x:v>PawHaus</x:v>
      </x:c>
      <x:c r="B21" t="str">
        <x:v>PH-BED-MED-GRY</x:v>
      </x:c>
      <x:c r="C21" t="str">
        <x:v>PawHaus Orthopedic Dog Bed Medium Grey</x:v>
      </x:c>
      <x:c r="D21" t="n">
        <x:v>3</x:v>
      </x:c>
      <x:c r="E21" s="31" t="n">
        <x:v>46090</x:v>
      </x:c>
      <x:c r="F21" s="31" t="n">
        <x:v>46159</x:v>
      </x:c>
      <x:c r="G21" s="17" t="n">
        <x:v>1300</x:v>
      </x:c>
      <x:c r="H21" s="15" t="n">
        <x:v>23556</x:v>
      </x:c>
      <x:c r="I21" s="15" t="n">
        <x:v>2048.8</x:v>
      </x:c>
      <x:c r="J21" s="15" t="n">
        <x:v>25604.8</x:v>
      </x:c>
      <x:c r="K21" s="17" t="n">
        <x:v>1</x:v>
      </x:c>
      <x:c r="L21" s="16" t="n">
        <x:v>19.695999999999998</x:v>
      </x:c>
    </x:row>
    <x:row r="22">
      <x:c r="A22" t="str">
        <x:v>PawHaus</x:v>
      </x:c>
      <x:c r="B22" t="str">
        <x:v>PH-BRUSH-DBL</x:v>
      </x:c>
      <x:c r="C22" t="str">
        <x:v>PawHaus Double-Sided Grooming Brush</x:v>
      </x:c>
      <x:c r="D22" t="n">
        <x:v>2</x:v>
      </x:c>
      <x:c r="E22" s="31" t="n">
        <x:v>46092</x:v>
      </x:c>
      <x:c r="F22" s="31" t="n">
        <x:v>46205</x:v>
      </x:c>
      <x:c r="G22" s="17" t="n">
        <x:v>600</x:v>
      </x:c>
      <x:c r="H22" s="15" t="n">
        <x:v>1434</x:v>
      </x:c>
      <x:c r="I22" s="15" t="n">
        <x:v>124.80000000000001</x:v>
      </x:c>
      <x:c r="J22" s="15" t="n">
        <x:v>1558.8000000000002</x:v>
      </x:c>
      <x:c r="K22" s="17" t="n">
        <x:v>1</x:v>
      </x:c>
      <x:c r="L22" s="16" t="n">
        <x:v>2.5980000000000003</x:v>
      </x:c>
    </x:row>
    <x:row r="23">
      <x:c r="A23" t="str">
        <x:v>PawHaus</x:v>
      </x:c>
      <x:c r="B23" t="str">
        <x:v>PH-CHEW-BULLY-6</x:v>
      </x:c>
      <x:c r="C23" t="str">
        <x:v>PawHaus Bully Stick Chews 6in 8pk</x:v>
      </x:c>
      <x:c r="D23" t="n">
        <x:v>2</x:v>
      </x:c>
      <x:c r="E23" s="31" t="n">
        <x:v>46101</x:v>
      </x:c>
      <x:c r="F23" s="31" t="n">
        <x:v>46184</x:v>
      </x:c>
      <x:c r="G23" s="17" t="n">
        <x:v>900</x:v>
      </x:c>
      <x:c r="H23" s="15" t="n">
        <x:v>9441</x:v>
      </x:c>
      <x:c r="I23" s="15" t="n">
        <x:v>820.8</x:v>
      </x:c>
      <x:c r="J23" s="15" t="n">
        <x:v>10261.8</x:v>
      </x:c>
      <x:c r="K23" s="17" t="n">
        <x:v>1</x:v>
      </x:c>
      <x:c r="L23" s="16" t="n">
        <x:v>11.402</x:v>
      </x:c>
    </x:row>
    <x:row r="24">
      <x:c r="A24" t="str">
        <x:v>PawHaus</x:v>
      </x:c>
      <x:c r="B24" t="str">
        <x:v>PH-DENTAL-30CT</x:v>
      </x:c>
      <x:c r="C24" t="str">
        <x:v>PawHaus Dental Chews 30ct</x:v>
      </x:c>
      <x:c r="D24" t="n">
        <x:v>3</x:v>
      </x:c>
      <x:c r="E24" s="31" t="n">
        <x:v>46093</x:v>
      </x:c>
      <x:c r="F24" s="31" t="n">
        <x:v>46158</x:v>
      </x:c>
      <x:c r="G24" s="17" t="n">
        <x:v>1188</x:v>
      </x:c>
      <x:c r="H24" s="15" t="n">
        <x:v>7978.41</x:v>
      </x:c>
      <x:c r="I24" s="15" t="n">
        <x:v>693.79</x:v>
      </x:c>
      <x:c r="J24" s="15" t="n">
        <x:v>8672.199999999999</x:v>
      </x:c>
      <x:c r="K24" s="17" t="n">
        <x:v>12</x:v>
      </x:c>
      <x:c r="L24" s="16" t="n">
        <x:v>7.299831649831649</x:v>
      </x:c>
    </x:row>
    <x:row r="25">
      <x:c r="A25" t="str">
        <x:v>PawHaus</x:v>
      </x:c>
      <x:c r="B25" t="str">
        <x:v>PH-SHAMPOO-OAT</x:v>
      </x:c>
      <x:c r="C25" t="str">
        <x:v>PawHaus Oatmeal Dog Shampoo 16oz</x:v>
      </x:c>
      <x:c r="D25" t="n">
        <x:v>3</x:v>
      </x:c>
      <x:c r="E25" s="31" t="n">
        <x:v>46082</x:v>
      </x:c>
      <x:c r="F25" s="31" t="n">
        <x:v>46154</x:v>
      </x:c>
      <x:c r="G25" s="17" t="n">
        <x:v>2100</x:v>
      </x:c>
      <x:c r="H25" s="15" t="n">
        <x:v>7350</x:v>
      </x:c>
      <x:c r="I25" s="15" t="n">
        <x:v>638.4</x:v>
      </x:c>
      <x:c r="J25" s="15" t="n">
        <x:v>7988.4</x:v>
      </x:c>
      <x:c r="K25" s="17" t="n">
        <x:v>1</x:v>
      </x:c>
      <x:c r="L25" s="16" t="n">
        <x:v>3.804</x:v>
      </x:c>
    </x:row>
    <x:row r="26">
      <x:c r="A26" t="str">
        <x:v>PawHaus</x:v>
      </x:c>
      <x:c r="B26" t="str">
        <x:v>PH-TREAT-SALMON</x:v>
      </x:c>
      <x:c r="C26" t="str">
        <x:v>PawHaus Salmon Training Treats 16oz</x:v>
      </x:c>
      <x:c r="D26" t="n">
        <x:v>2</x:v>
      </x:c>
      <x:c r="E26" s="31" t="n">
        <x:v>46116</x:v>
      </x:c>
      <x:c r="F26" s="31" t="n">
        <x:v>46142</x:v>
      </x:c>
      <x:c r="G26" s="17" t="n">
        <x:v>500</x:v>
      </x:c>
      <x:c r="H26" s="15" t="n">
        <x:v>2850</x:v>
      </x:c>
      <x:c r="I26" s="15" t="n">
        <x:v>248</x:v>
      </x:c>
      <x:c r="J26" s="15" t="n">
        <x:v>3098</x:v>
      </x:c>
      <x:c r="K26" s="17" t="n">
        <x:v>1</x:v>
      </x:c>
      <x:c r="L26" s="16" t="n">
        <x:v>6.196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00fb9fa0816a4d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3" hidden="0" customWidth="1"/>
    <x:col min="5" max="5" width="12" hidden="0" customWidth="1"/>
    <x:col min="6" max="6" width="16" hidden="0" customWidth="1"/>
    <x:col min="7" max="7" width="52" hidden="0" customWidth="1"/>
  </x:cols>
  <x:sheetData>
    <x:row r="1">
      <x:c r="A1" s="3" t="str">
        <x:v>Model Checks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3">
      <x:c r="A3" s="4" t="str">
        <x:v>PASS means the calculated schedules reconcile and known limitations remain explicitly flagged</x:v>
      </x:c>
    </x:row>
    <x:row r="4" ht="30" customHeight="1">
      <x:c r="A4" s="12" t="str">
        <x:v>Check</x:v>
      </x:c>
      <x:c r="B4" s="13" t="str">
        <x:v>Actual</x:v>
      </x:c>
      <x:c r="C4" s="13" t="str">
        <x:v>Expected</x:v>
      </x:c>
      <x:c r="D4" s="13" t="str">
        <x:v>Difference</x:v>
      </x:c>
      <x:c r="E4" s="13" t="str">
        <x:v>Tolerance</x:v>
      </x:c>
      <x:c r="F4" s="13" t="str">
        <x:v>Status</x:v>
      </x:c>
      <x:c r="G4" s="14" t="str">
        <x:v>Where to fix / note</x:v>
      </x:c>
    </x:row>
    <x:row r="5">
      <x:c r="A5" t="str">
        <x:v>Brand CM ties to SKU CM</x:v>
      </x:c>
      <x:c r="B5" s="38" t="n">
        <x:f>SUM('Brand Profitability'!I5:I7)</x:f>
        <x:v>51242.628279461285</x:v>
      </x:c>
      <x:c r="C5" s="38" t="n">
        <x:f>SUM('SKU Profitability'!M5:M28)</x:f>
        <x:v>51242.62827946127</x:v>
      </x:c>
      <x:c r="D5" s="38" t="n">
        <x:f>B5-C5</x:f>
        <x:v>1.4551915228366852e-11</x:v>
      </x:c>
      <x:c r="E5" s="38" t="n">
        <x:v>0.01</x:v>
      </x:c>
      <x:c r="F5" t="str">
        <x:f>IF(ABS(D5)&lt;=E5,"PASS","FAIL")</x:f>
        <x:v>PASS</x:v>
      </x:c>
      <x:c r="G5" t="str">
        <x:v>Formula reconciliation</x:v>
      </x:c>
    </x:row>
    <x:row r="6">
      <x:c r="A6" t="str">
        <x:v>Brand net sales ties to SKU net sales</x:v>
      </x:c>
      <x:c r="B6" s="38" t="n">
        <x:f>SUM('Brand Profitability'!D5:D7)</x:f>
        <x:v>132341.93</x:v>
      </x:c>
      <x:c r="C6" s="38" t="n">
        <x:f>SUM('SKU Profitability'!F5:F28)</x:f>
        <x:v>132341.93000000002</x:v>
      </x:c>
      <x:c r="D6" s="38" t="n">
        <x:f>B6-C6</x:f>
        <x:v>-2.9103830456733704e-11</x:v>
      </x:c>
      <x:c r="E6" s="38" t="n">
        <x:v>0.01</x:v>
      </x:c>
      <x:c r="F6" t="str">
        <x:f>IF(ABS(D6)&lt;=E6,"PASS","FAIL")</x:f>
        <x:v>PASS</x:v>
      </x:c>
      <x:c r="G6" t="str">
        <x:v>Formula reconciliation</x:v>
      </x:c>
    </x:row>
    <x:row r="7">
      <x:c r="A7" t="str">
        <x:v>Expected SKU count</x:v>
      </x:c>
      <x:c r="B7" s="38" t="n">
        <x:f>COUNTA('SKU Profitability'!B5:B28)</x:f>
        <x:v>24</x:v>
      </x:c>
      <x:c r="C7" s="38" t="n">
        <x:f>24</x:f>
        <x:v>24</x:v>
      </x:c>
      <x:c r="D7" s="38" t="n">
        <x:f>B7-C7</x:f>
        <x:v>0</x:v>
      </x:c>
      <x:c r="E7" s="38" t="n">
        <x:v>0</x:v>
      </x:c>
      <x:c r="F7" t="str">
        <x:f>IF(ABS(D7)&lt;=E7,"PASS","FAIL")</x:f>
        <x:v>PASS</x:v>
      </x:c>
      <x:c r="G7" t="str">
        <x:v>Supplied mapping contains 24 SKUs</x:v>
      </x:c>
    </x:row>
    <x:row r="8">
      <x:c r="A8" t="str">
        <x:v>Inventory SKUs mapped</x:v>
      </x:c>
      <x:c r="B8" s="38" t="n">
        <x:f>COUNTIF('Inventory Health'!A5:A28,"&lt;&gt;")</x:f>
        <x:v>24</x:v>
      </x:c>
      <x:c r="C8" s="38" t="n">
        <x:f>24</x:f>
        <x:v>24</x:v>
      </x:c>
      <x:c r="D8" s="38" t="n">
        <x:f>B8-C8</x:f>
        <x:v>0</x:v>
      </x:c>
      <x:c r="E8" s="38" t="n">
        <x:v>0</x:v>
      </x:c>
      <x:c r="F8" t="str">
        <x:f>IF(ABS(D8)&lt;=E8,"PASS","FAIL")</x:f>
        <x:v>PASS</x:v>
      </x:c>
      <x:c r="G8" t="str">
        <x:v>Alias bridge resolves PF-ELECTRO-CITRUS</x:v>
      </x:c>
    </x:row>
    <x:row r="9">
      <x:c r="A9" t="str">
        <x:v>Imputed cost SKU count (disclosed)</x:v>
      </x:c>
      <x:c r="B9" s="38" t="n">
        <x:f>COUNTIF('SKU Profitability'!K5:K28,"IMPUTED - REVIEW")</x:f>
        <x:v>2</x:v>
      </x:c>
      <x:c r="C9" s="38" t="n">
        <x:f>2</x:f>
        <x:v>2</x:v>
      </x:c>
      <x:c r="D9" s="38" t="n">
        <x:f>B9-C9</x:f>
        <x:v>0</x:v>
      </x:c>
      <x:c r="E9" s="38" t="n">
        <x:v>0</x:v>
      </x:c>
      <x:c r="F9" t="str">
        <x:f>IF(ABS(D9)&lt;=E9,"PASS","FAIL")</x:f>
        <x:v>PASS</x:v>
      </x:c>
      <x:c r="G9" t="str">
        <x:v>GT-LIP-BALM and PH-TOY-ROPE-L need actual cost</x:v>
      </x:c>
    </x:row>
    <x:row r="10">
      <x:c r="A10" t="str">
        <x:v>Settlement and PO arithmetic tolerance</x:v>
      </x:c>
      <x:c r="B10" s="38" t="n">
        <x:f>0</x:f>
        <x:v>0</x:v>
      </x:c>
      <x:c r="C10" s="38" t="n">
        <x:f>0</x:f>
        <x:v>0</x:v>
      </x:c>
      <x:c r="D10" s="38" t="n">
        <x:f>B10-C10</x:f>
        <x:v>0</x:v>
      </x:c>
      <x:c r="E10" s="38" t="n">
        <x:v>0.01</x:v>
      </x:c>
      <x:c r="F10" t="str">
        <x:f>IF(ABS(D10)&lt;=E10,"PASS","FAIL")</x:f>
        <x:v>PASS</x:v>
      </x:c>
      <x:c r="G10" t="str">
        <x:v>Source arithmetic reconciles within floating-point tolerance</x:v>
      </x:c>
    </x:row>
    <x:row r="12">
      <x:c r="A12" s="39" t="str">
        <x:v>MODEL STATUS</x:v>
      </x:c>
      <x:c r="B12" s="39" t="str">
        <x:f>IF(COUNTIF(F5:F10,"FAIL")=0,"PASS - WITH DISCLOSED IMPUTATIONS","FAIL")</x:f>
        <x:v>PASS - WITH DISCLOSED IMPUTATIONS</x:v>
      </x:c>
      <x:c r="C12" s="39"/>
      <x:c r="D12" s="39"/>
    </x:row>
  </x:sheetData>
  <x:mergeCells>
    <x:mergeCell ref="A1:G2"/>
    <x:mergeCell ref="B12:D12"/>
  </x:mergeCells>
  <x:conditionalFormatting sqref="F5:F10">
    <x:cfRule type="containsText" dxfId="5" priority="1" operator="containsText" text="PASS"/>
    <x:cfRule type="containsText" dxfId="6" priority="2" operator="containsText" text="FAIL"/>
  </x:conditionalFormatting>
  <x:pageMargins left="0.7" right="0.7" top="0.75" bottom="0.75" header="0.3" footer="0.3"/>
</x:worksheet>
</file>